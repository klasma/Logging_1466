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45660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45660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40027-2023</t>
        </is>
      </c>
      <c r="B4" s="1" t="n">
        <v>45168</v>
      </c>
      <c r="C4" s="1" t="n">
        <v>45660</v>
      </c>
      <c r="D4" t="inlineStr">
        <is>
          <t>VÄSTRA GÖTALANDS LÄN</t>
        </is>
      </c>
      <c r="E4" t="inlineStr">
        <is>
          <t>HERRLJUNGA</t>
        </is>
      </c>
      <c r="G4" t="n">
        <v>10.1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Revlummer</t>
        </is>
      </c>
      <c r="S4">
        <f>HYPERLINK("https://klasma.github.io/Logging_1466/artfynd/A 40027-2023 artfynd.xlsx", "A 40027-2023")</f>
        <v/>
      </c>
      <c r="T4">
        <f>HYPERLINK("https://klasma.github.io/Logging_1466/kartor/A 40027-2023 karta.png", "A 40027-2023")</f>
        <v/>
      </c>
      <c r="V4">
        <f>HYPERLINK("https://klasma.github.io/Logging_1466/klagomål/A 40027-2023 FSC-klagomål.docx", "A 40027-2023")</f>
        <v/>
      </c>
      <c r="W4">
        <f>HYPERLINK("https://klasma.github.io/Logging_1466/klagomålsmail/A 40027-2023 FSC-klagomål mail.docx", "A 40027-2023")</f>
        <v/>
      </c>
      <c r="X4">
        <f>HYPERLINK("https://klasma.github.io/Logging_1466/tillsyn/A 40027-2023 tillsynsbegäran.docx", "A 40027-2023")</f>
        <v/>
      </c>
      <c r="Y4">
        <f>HYPERLINK("https://klasma.github.io/Logging_1466/tillsynsmail/A 40027-2023 tillsynsbegäran mail.docx", "A 40027-2023")</f>
        <v/>
      </c>
      <c r="Z4">
        <f>HYPERLINK("https://klasma.github.io/Logging_1466/fåglar/A 40027-2023 prioriterade fågelarter.docx", "A 40027-2023")</f>
        <v/>
      </c>
    </row>
    <row r="5" ht="15" customHeight="1">
      <c r="A5" t="inlineStr">
        <is>
          <t>A 42947-2020</t>
        </is>
      </c>
      <c r="B5" s="1" t="n">
        <v>44078</v>
      </c>
      <c r="C5" s="1" t="n">
        <v>45660</v>
      </c>
      <c r="D5" t="inlineStr">
        <is>
          <t>VÄSTRA GÖTALANDS LÄN</t>
        </is>
      </c>
      <c r="E5" t="inlineStr">
        <is>
          <t>HERRLJUNGA</t>
        </is>
      </c>
      <c r="G5" t="n">
        <v>4.9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Västlig hakmossa</t>
        </is>
      </c>
      <c r="S5">
        <f>HYPERLINK("https://klasma.github.io/Logging_1466/artfynd/A 42947-2020 artfynd.xlsx", "A 42947-2020")</f>
        <v/>
      </c>
      <c r="T5">
        <f>HYPERLINK("https://klasma.github.io/Logging_1466/kartor/A 42947-2020 karta.png", "A 42947-2020")</f>
        <v/>
      </c>
      <c r="V5">
        <f>HYPERLINK("https://klasma.github.io/Logging_1466/klagomål/A 42947-2020 FSC-klagomål.docx", "A 42947-2020")</f>
        <v/>
      </c>
      <c r="W5">
        <f>HYPERLINK("https://klasma.github.io/Logging_1466/klagomålsmail/A 42947-2020 FSC-klagomål mail.docx", "A 42947-2020")</f>
        <v/>
      </c>
      <c r="X5">
        <f>HYPERLINK("https://klasma.github.io/Logging_1466/tillsyn/A 42947-2020 tillsynsbegäran.docx", "A 42947-2020")</f>
        <v/>
      </c>
      <c r="Y5">
        <f>HYPERLINK("https://klasma.github.io/Logging_1466/tillsynsmail/A 42947-2020 tillsynsbegäran mail.docx", "A 42947-2020")</f>
        <v/>
      </c>
    </row>
    <row r="6" ht="15" customHeight="1">
      <c r="A6" t="inlineStr">
        <is>
          <t>A 72571-2021</t>
        </is>
      </c>
      <c r="B6" s="1" t="n">
        <v>44546</v>
      </c>
      <c r="C6" s="1" t="n">
        <v>45660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Kommuner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Vanlig padda</t>
        </is>
      </c>
      <c r="S6">
        <f>HYPERLINK("https://klasma.github.io/Logging_1466/artfynd/A 72571-2021 artfynd.xlsx", "A 72571-2021")</f>
        <v/>
      </c>
      <c r="T6">
        <f>HYPERLINK("https://klasma.github.io/Logging_1466/kartor/A 72571-2021 karta.png", "A 72571-2021")</f>
        <v/>
      </c>
      <c r="V6">
        <f>HYPERLINK("https://klasma.github.io/Logging_1466/klagomål/A 72571-2021 FSC-klagomål.docx", "A 72571-2021")</f>
        <v/>
      </c>
      <c r="W6">
        <f>HYPERLINK("https://klasma.github.io/Logging_1466/klagomålsmail/A 72571-2021 FSC-klagomål mail.docx", "A 72571-2021")</f>
        <v/>
      </c>
      <c r="X6">
        <f>HYPERLINK("https://klasma.github.io/Logging_1466/tillsyn/A 72571-2021 tillsynsbegäran.docx", "A 72571-2021")</f>
        <v/>
      </c>
      <c r="Y6">
        <f>HYPERLINK("https://klasma.github.io/Logging_1466/tillsynsmail/A 72571-2021 tillsynsbegäran mail.docx", "A 72571-2021")</f>
        <v/>
      </c>
    </row>
    <row r="7" ht="15" customHeight="1">
      <c r="A7" t="inlineStr">
        <is>
          <t>A 15042-2024</t>
        </is>
      </c>
      <c r="B7" s="1" t="n">
        <v>45399</v>
      </c>
      <c r="C7" s="1" t="n">
        <v>45660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Sveaskog</t>
        </is>
      </c>
      <c r="G7" t="n">
        <v>14.2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Björktrast</t>
        </is>
      </c>
      <c r="S7">
        <f>HYPERLINK("https://klasma.github.io/Logging_1466/artfynd/A 15042-2024 artfynd.xlsx", "A 15042-2024")</f>
        <v/>
      </c>
      <c r="T7">
        <f>HYPERLINK("https://klasma.github.io/Logging_1466/kartor/A 15042-2024 karta.png", "A 15042-2024")</f>
        <v/>
      </c>
      <c r="V7">
        <f>HYPERLINK("https://klasma.github.io/Logging_1466/klagomål/A 15042-2024 FSC-klagomål.docx", "A 15042-2024")</f>
        <v/>
      </c>
      <c r="W7">
        <f>HYPERLINK("https://klasma.github.io/Logging_1466/klagomålsmail/A 15042-2024 FSC-klagomål mail.docx", "A 15042-2024")</f>
        <v/>
      </c>
      <c r="X7">
        <f>HYPERLINK("https://klasma.github.io/Logging_1466/tillsyn/A 15042-2024 tillsynsbegäran.docx", "A 15042-2024")</f>
        <v/>
      </c>
      <c r="Y7">
        <f>HYPERLINK("https://klasma.github.io/Logging_1466/tillsynsmail/A 15042-2024 tillsynsbegäran mail.docx", "A 15042-2024")</f>
        <v/>
      </c>
      <c r="Z7">
        <f>HYPERLINK("https://klasma.github.io/Logging_1466/fåglar/A 15042-2024 prioriterade fågelarter.docx", "A 15042-2024")</f>
        <v/>
      </c>
    </row>
    <row r="8" ht="15" customHeight="1">
      <c r="A8" t="inlineStr">
        <is>
          <t>A 21021-2019</t>
        </is>
      </c>
      <c r="B8" s="1" t="n">
        <v>43578</v>
      </c>
      <c r="C8" s="1" t="n">
        <v>45660</v>
      </c>
      <c r="D8" t="inlineStr">
        <is>
          <t>VÄSTRA GÖTALANDS LÄN</t>
        </is>
      </c>
      <c r="E8" t="inlineStr">
        <is>
          <t>HERRLJUNGA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21673-2019</t>
        </is>
      </c>
      <c r="B9" s="1" t="n">
        <v>43581</v>
      </c>
      <c r="C9" s="1" t="n">
        <v>45660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22956-2019</t>
        </is>
      </c>
      <c r="B10" s="1" t="n">
        <v>43591</v>
      </c>
      <c r="C10" s="1" t="n">
        <v>45660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23320-2019</t>
        </is>
      </c>
      <c r="B11" s="1" t="n">
        <v>43593</v>
      </c>
      <c r="C11" s="1" t="n">
        <v>45660</v>
      </c>
      <c r="D11" t="inlineStr">
        <is>
          <t>VÄSTRA GÖTALANDS LÄN</t>
        </is>
      </c>
      <c r="E11" t="inlineStr">
        <is>
          <t>HERRLJUNGA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23955-2019</t>
        </is>
      </c>
      <c r="B12" s="1" t="n">
        <v>43597</v>
      </c>
      <c r="C12" s="1" t="n">
        <v>45660</v>
      </c>
      <c r="D12" t="inlineStr">
        <is>
          <t>VÄSTRA GÖTALANDS LÄN</t>
        </is>
      </c>
      <c r="E12" t="inlineStr">
        <is>
          <t>HERRLJUNGA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27299-2019</t>
        </is>
      </c>
      <c r="B13" s="1" t="n">
        <v>43616</v>
      </c>
      <c r="C13" s="1" t="n">
        <v>45660</v>
      </c>
      <c r="D13" t="inlineStr">
        <is>
          <t>VÄSTRA GÖTALANDS LÄN</t>
        </is>
      </c>
      <c r="E13" t="inlineStr">
        <is>
          <t>HERRLJUNGA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33174-2019</t>
        </is>
      </c>
      <c r="B14" s="1" t="n">
        <v>43649</v>
      </c>
      <c r="C14" s="1" t="n">
        <v>45660</v>
      </c>
      <c r="D14" t="inlineStr">
        <is>
          <t>VÄSTRA GÖTALANDS LÄN</t>
        </is>
      </c>
      <c r="E14" t="inlineStr">
        <is>
          <t>HERRLJUNGA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33171-2019</t>
        </is>
      </c>
      <c r="B15" s="1" t="n">
        <v>43649</v>
      </c>
      <c r="C15" s="1" t="n">
        <v>45660</v>
      </c>
      <c r="D15" t="inlineStr">
        <is>
          <t>VÄSTRA GÖTALANDS LÄN</t>
        </is>
      </c>
      <c r="E15" t="inlineStr">
        <is>
          <t>HERRLJUNGA</t>
        </is>
      </c>
      <c r="F15" t="inlineStr">
        <is>
          <t>Kyrkan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33175-2019</t>
        </is>
      </c>
      <c r="B16" s="1" t="n">
        <v>43649</v>
      </c>
      <c r="C16" s="1" t="n">
        <v>45660</v>
      </c>
      <c r="D16" t="inlineStr">
        <is>
          <t>VÄSTRA GÖTALANDS LÄN</t>
        </is>
      </c>
      <c r="E16" t="inlineStr">
        <is>
          <t>HERRLJUNGA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34832-2019</t>
        </is>
      </c>
      <c r="B17" s="1" t="n">
        <v>43658</v>
      </c>
      <c r="C17" s="1" t="n">
        <v>45660</v>
      </c>
      <c r="D17" t="inlineStr">
        <is>
          <t>VÄSTRA GÖTALANDS LÄN</t>
        </is>
      </c>
      <c r="E17" t="inlineStr">
        <is>
          <t>HERRLJUNGA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36191-2019</t>
        </is>
      </c>
      <c r="B18" s="1" t="n">
        <v>43669</v>
      </c>
      <c r="C18" s="1" t="n">
        <v>45660</v>
      </c>
      <c r="D18" t="inlineStr">
        <is>
          <t>VÄSTRA GÖTALANDS LÄN</t>
        </is>
      </c>
      <c r="E18" t="inlineStr">
        <is>
          <t>HERRLJUNGA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36790-2019</t>
        </is>
      </c>
      <c r="B19" s="1" t="n">
        <v>43672</v>
      </c>
      <c r="C19" s="1" t="n">
        <v>45660</v>
      </c>
      <c r="D19" t="inlineStr">
        <is>
          <t>VÄSTRA GÖTALANDS LÄN</t>
        </is>
      </c>
      <c r="E19" t="inlineStr">
        <is>
          <t>HERRLJUNGA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40602-2019</t>
        </is>
      </c>
      <c r="B20" s="1" t="n">
        <v>43696</v>
      </c>
      <c r="C20" s="1" t="n">
        <v>45660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40939-2019</t>
        </is>
      </c>
      <c r="B21" s="1" t="n">
        <v>43697</v>
      </c>
      <c r="C21" s="1" t="n">
        <v>45660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41394-2019</t>
        </is>
      </c>
      <c r="B22" s="1" t="n">
        <v>43698</v>
      </c>
      <c r="C22" s="1" t="n">
        <v>45660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57784-2019</t>
        </is>
      </c>
      <c r="B23" s="1" t="n">
        <v>43698</v>
      </c>
      <c r="C23" s="1" t="n">
        <v>45660</v>
      </c>
      <c r="D23" t="inlineStr">
        <is>
          <t>VÄSTRA GÖTALANDS LÄN</t>
        </is>
      </c>
      <c r="E23" t="inlineStr">
        <is>
          <t>HERRLJUNGA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41565-2019</t>
        </is>
      </c>
      <c r="B24" s="1" t="n">
        <v>43699</v>
      </c>
      <c r="C24" s="1" t="n">
        <v>45660</v>
      </c>
      <c r="D24" t="inlineStr">
        <is>
          <t>VÄSTRA GÖTALANDS LÄN</t>
        </is>
      </c>
      <c r="E24" t="inlineStr">
        <is>
          <t>HERRLJUNGA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41560-2019</t>
        </is>
      </c>
      <c r="B25" s="1" t="n">
        <v>43699</v>
      </c>
      <c r="C25" s="1" t="n">
        <v>45660</v>
      </c>
      <c r="D25" t="inlineStr">
        <is>
          <t>VÄSTRA GÖTALANDS LÄN</t>
        </is>
      </c>
      <c r="E25" t="inlineStr">
        <is>
          <t>HERRLJUNGA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43004-2019</t>
        </is>
      </c>
      <c r="B26" s="1" t="n">
        <v>43700</v>
      </c>
      <c r="C26" s="1" t="n">
        <v>45660</v>
      </c>
      <c r="D26" t="inlineStr">
        <is>
          <t>VÄSTRA GÖTALANDS LÄN</t>
        </is>
      </c>
      <c r="E26" t="inlineStr">
        <is>
          <t>HERRLJUNGA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43362-2019</t>
        </is>
      </c>
      <c r="B27" s="1" t="n">
        <v>43706</v>
      </c>
      <c r="C27" s="1" t="n">
        <v>45660</v>
      </c>
      <c r="D27" t="inlineStr">
        <is>
          <t>VÄSTRA GÖTALANDS LÄN</t>
        </is>
      </c>
      <c r="E27" t="inlineStr">
        <is>
          <t>HERRLJUNGA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45410-2019</t>
        </is>
      </c>
      <c r="B28" s="1" t="n">
        <v>43714</v>
      </c>
      <c r="C28" s="1" t="n">
        <v>45660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46814-2019</t>
        </is>
      </c>
      <c r="B29" s="1" t="n">
        <v>43718</v>
      </c>
      <c r="C29" s="1" t="n">
        <v>45660</v>
      </c>
      <c r="D29" t="inlineStr">
        <is>
          <t>VÄSTRA GÖTALANDS LÄN</t>
        </is>
      </c>
      <c r="E29" t="inlineStr">
        <is>
          <t>HERRLJUNGA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46821-2019</t>
        </is>
      </c>
      <c r="B30" s="1" t="n">
        <v>43718</v>
      </c>
      <c r="C30" s="1" t="n">
        <v>45660</v>
      </c>
      <c r="D30" t="inlineStr">
        <is>
          <t>VÄSTRA GÖTALANDS LÄN</t>
        </is>
      </c>
      <c r="E30" t="inlineStr">
        <is>
          <t>HERRLJUNGA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46180-2019</t>
        </is>
      </c>
      <c r="B31" s="1" t="n">
        <v>43718</v>
      </c>
      <c r="C31" s="1" t="n">
        <v>45660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46501-2019</t>
        </is>
      </c>
      <c r="B32" s="1" t="n">
        <v>43719</v>
      </c>
      <c r="C32" s="1" t="n">
        <v>45660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46564-2019</t>
        </is>
      </c>
      <c r="B33" s="1" t="n">
        <v>43719</v>
      </c>
      <c r="C33" s="1" t="n">
        <v>45660</v>
      </c>
      <c r="D33" t="inlineStr">
        <is>
          <t>VÄSTRA GÖTALANDS LÄN</t>
        </is>
      </c>
      <c r="E33" t="inlineStr">
        <is>
          <t>HERRLJUNGA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46495-2019</t>
        </is>
      </c>
      <c r="B34" s="1" t="n">
        <v>43719</v>
      </c>
      <c r="C34" s="1" t="n">
        <v>45660</v>
      </c>
      <c r="D34" t="inlineStr">
        <is>
          <t>VÄSTRA GÖTALANDS LÄN</t>
        </is>
      </c>
      <c r="E34" t="inlineStr">
        <is>
          <t>HERRLJUNGA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47594-2019</t>
        </is>
      </c>
      <c r="B35" s="1" t="n">
        <v>43724</v>
      </c>
      <c r="C35" s="1" t="n">
        <v>45660</v>
      </c>
      <c r="D35" t="inlineStr">
        <is>
          <t>VÄSTRA GÖTALANDS LÄN</t>
        </is>
      </c>
      <c r="E35" t="inlineStr">
        <is>
          <t>HERRLJUNGA</t>
        </is>
      </c>
      <c r="F35" t="inlineStr">
        <is>
          <t>Kyrkan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48735-2019</t>
        </is>
      </c>
      <c r="B36" s="1" t="n">
        <v>43727</v>
      </c>
      <c r="C36" s="1" t="n">
        <v>45660</v>
      </c>
      <c r="D36" t="inlineStr">
        <is>
          <t>VÄSTRA GÖTALANDS LÄN</t>
        </is>
      </c>
      <c r="E36" t="inlineStr">
        <is>
          <t>HERRLJUNGA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50111-2019</t>
        </is>
      </c>
      <c r="B37" s="1" t="n">
        <v>43734</v>
      </c>
      <c r="C37" s="1" t="n">
        <v>45660</v>
      </c>
      <c r="D37" t="inlineStr">
        <is>
          <t>VÄSTRA GÖTALANDS LÄN</t>
        </is>
      </c>
      <c r="E37" t="inlineStr">
        <is>
          <t>HERRLJUNGA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50078-2019</t>
        </is>
      </c>
      <c r="B38" s="1" t="n">
        <v>43734</v>
      </c>
      <c r="C38" s="1" t="n">
        <v>45660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Kyrkan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56752-2019</t>
        </is>
      </c>
      <c r="B39" s="1" t="n">
        <v>43763</v>
      </c>
      <c r="C39" s="1" t="n">
        <v>45660</v>
      </c>
      <c r="D39" t="inlineStr">
        <is>
          <t>VÄSTRA GÖTALANDS LÄN</t>
        </is>
      </c>
      <c r="E39" t="inlineStr">
        <is>
          <t>HERRLJUNGA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56755-2019</t>
        </is>
      </c>
      <c r="B40" s="1" t="n">
        <v>43763</v>
      </c>
      <c r="C40" s="1" t="n">
        <v>45660</v>
      </c>
      <c r="D40" t="inlineStr">
        <is>
          <t>VÄSTRA GÖTALANDS LÄN</t>
        </is>
      </c>
      <c r="E40" t="inlineStr">
        <is>
          <t>HERRLJUNGA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58045-2019</t>
        </is>
      </c>
      <c r="B41" s="1" t="n">
        <v>43769</v>
      </c>
      <c r="C41" s="1" t="n">
        <v>45660</v>
      </c>
      <c r="D41" t="inlineStr">
        <is>
          <t>VÄSTRA GÖTALANDS LÄN</t>
        </is>
      </c>
      <c r="E41" t="inlineStr">
        <is>
          <t>HERRLJUNGA</t>
        </is>
      </c>
      <c r="G41" t="n">
        <v>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58048-2019</t>
        </is>
      </c>
      <c r="B42" s="1" t="n">
        <v>43769</v>
      </c>
      <c r="C42" s="1" t="n">
        <v>45660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60801-2019</t>
        </is>
      </c>
      <c r="B43" s="1" t="n">
        <v>43781</v>
      </c>
      <c r="C43" s="1" t="n">
        <v>45660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66018-2019</t>
        </is>
      </c>
      <c r="B44" s="1" t="n">
        <v>43798</v>
      </c>
      <c r="C44" s="1" t="n">
        <v>45660</v>
      </c>
      <c r="D44" t="inlineStr">
        <is>
          <t>VÄSTRA GÖTALANDS LÄN</t>
        </is>
      </c>
      <c r="E44" t="inlineStr">
        <is>
          <t>HERRLJUNGA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64794-2019</t>
        </is>
      </c>
      <c r="B45" s="1" t="n">
        <v>43801</v>
      </c>
      <c r="C45" s="1" t="n">
        <v>45660</v>
      </c>
      <c r="D45" t="inlineStr">
        <is>
          <t>VÄSTRA GÖTALANDS LÄN</t>
        </is>
      </c>
      <c r="E45" t="inlineStr">
        <is>
          <t>HERRLJUNGA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68719-2019</t>
        </is>
      </c>
      <c r="B46" s="1" t="n">
        <v>43819</v>
      </c>
      <c r="C46" s="1" t="n">
        <v>45660</v>
      </c>
      <c r="D46" t="inlineStr">
        <is>
          <t>VÄSTRA GÖTALANDS LÄN</t>
        </is>
      </c>
      <c r="E46" t="inlineStr">
        <is>
          <t>HERRLJUNGA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86-2020</t>
        </is>
      </c>
      <c r="B47" s="1" t="n">
        <v>43832</v>
      </c>
      <c r="C47" s="1" t="n">
        <v>45660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1593-2020</t>
        </is>
      </c>
      <c r="B48" s="1" t="n">
        <v>43844</v>
      </c>
      <c r="C48" s="1" t="n">
        <v>45660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2081-2020</t>
        </is>
      </c>
      <c r="B49" s="1" t="n">
        <v>43845</v>
      </c>
      <c r="C49" s="1" t="n">
        <v>45660</v>
      </c>
      <c r="D49" t="inlineStr">
        <is>
          <t>VÄSTRA GÖTALANDS LÄN</t>
        </is>
      </c>
      <c r="E49" t="inlineStr">
        <is>
          <t>HERRLJUNGA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2079-2020</t>
        </is>
      </c>
      <c r="B50" s="1" t="n">
        <v>43845</v>
      </c>
      <c r="C50" s="1" t="n">
        <v>45660</v>
      </c>
      <c r="D50" t="inlineStr">
        <is>
          <t>VÄSTRA GÖTALANDS LÄN</t>
        </is>
      </c>
      <c r="E50" t="inlineStr">
        <is>
          <t>HERRLJUNGA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2451-2020</t>
        </is>
      </c>
      <c r="B51" s="1" t="n">
        <v>43847</v>
      </c>
      <c r="C51" s="1" t="n">
        <v>45660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4913-2020</t>
        </is>
      </c>
      <c r="B52" s="1" t="n">
        <v>43852</v>
      </c>
      <c r="C52" s="1" t="n">
        <v>45660</v>
      </c>
      <c r="D52" t="inlineStr">
        <is>
          <t>VÄSTRA GÖTALANDS LÄN</t>
        </is>
      </c>
      <c r="E52" t="inlineStr">
        <is>
          <t>HERRLJUNGA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6047-2020</t>
        </is>
      </c>
      <c r="B53" s="1" t="n">
        <v>43865</v>
      </c>
      <c r="C53" s="1" t="n">
        <v>45660</v>
      </c>
      <c r="D53" t="inlineStr">
        <is>
          <t>VÄSTRA GÖTALANDS LÄN</t>
        </is>
      </c>
      <c r="E53" t="inlineStr">
        <is>
          <t>HERRLJUNGA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7465-2020</t>
        </is>
      </c>
      <c r="B54" s="1" t="n">
        <v>43871</v>
      </c>
      <c r="C54" s="1" t="n">
        <v>45660</v>
      </c>
      <c r="D54" t="inlineStr">
        <is>
          <t>VÄSTRA GÖTALANDS LÄN</t>
        </is>
      </c>
      <c r="E54" t="inlineStr">
        <is>
          <t>HERRLJUNGA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9182-2020</t>
        </is>
      </c>
      <c r="B55" s="1" t="n">
        <v>43879</v>
      </c>
      <c r="C55" s="1" t="n">
        <v>45660</v>
      </c>
      <c r="D55" t="inlineStr">
        <is>
          <t>VÄSTRA GÖTALANDS LÄN</t>
        </is>
      </c>
      <c r="E55" t="inlineStr">
        <is>
          <t>HERRLJUNGA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15242-2020</t>
        </is>
      </c>
      <c r="B56" s="1" t="n">
        <v>43913</v>
      </c>
      <c r="C56" s="1" t="n">
        <v>45660</v>
      </c>
      <c r="D56" t="inlineStr">
        <is>
          <t>VÄSTRA GÖTALANDS LÄN</t>
        </is>
      </c>
      <c r="E56" t="inlineStr">
        <is>
          <t>HERRLJUNGA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15842-2020</t>
        </is>
      </c>
      <c r="B57" s="1" t="n">
        <v>43915</v>
      </c>
      <c r="C57" s="1" t="n">
        <v>45660</v>
      </c>
      <c r="D57" t="inlineStr">
        <is>
          <t>VÄSTRA GÖTALANDS LÄN</t>
        </is>
      </c>
      <c r="E57" t="inlineStr">
        <is>
          <t>HERRLJUNGA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15900-2020</t>
        </is>
      </c>
      <c r="B58" s="1" t="n">
        <v>43916</v>
      </c>
      <c r="C58" s="1" t="n">
        <v>45660</v>
      </c>
      <c r="D58" t="inlineStr">
        <is>
          <t>VÄSTRA GÖTALANDS LÄN</t>
        </is>
      </c>
      <c r="E58" t="inlineStr">
        <is>
          <t>HERRLJUNGA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15999-2020</t>
        </is>
      </c>
      <c r="B59" s="1" t="n">
        <v>43916</v>
      </c>
      <c r="C59" s="1" t="n">
        <v>45660</v>
      </c>
      <c r="D59" t="inlineStr">
        <is>
          <t>VÄSTRA GÖTALANDS LÄN</t>
        </is>
      </c>
      <c r="E59" t="inlineStr">
        <is>
          <t>HERRLJUNGA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17356-2020</t>
        </is>
      </c>
      <c r="B60" s="1" t="n">
        <v>43916</v>
      </c>
      <c r="C60" s="1" t="n">
        <v>45660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17266-2020</t>
        </is>
      </c>
      <c r="B61" s="1" t="n">
        <v>43916</v>
      </c>
      <c r="C61" s="1" t="n">
        <v>45660</v>
      </c>
      <c r="D61" t="inlineStr">
        <is>
          <t>VÄSTRA GÖTALANDS LÄN</t>
        </is>
      </c>
      <c r="E61" t="inlineStr">
        <is>
          <t>HERRLJUNGA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16409-2020</t>
        </is>
      </c>
      <c r="B62" s="1" t="n">
        <v>43918</v>
      </c>
      <c r="C62" s="1" t="n">
        <v>45660</v>
      </c>
      <c r="D62" t="inlineStr">
        <is>
          <t>VÄSTRA GÖTALANDS LÄN</t>
        </is>
      </c>
      <c r="E62" t="inlineStr">
        <is>
          <t>HERRLJUNGA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19259-2020</t>
        </is>
      </c>
      <c r="B63" s="1" t="n">
        <v>43937</v>
      </c>
      <c r="C63" s="1" t="n">
        <v>45660</v>
      </c>
      <c r="D63" t="inlineStr">
        <is>
          <t>VÄSTRA GÖTALANDS LÄN</t>
        </is>
      </c>
      <c r="E63" t="inlineStr">
        <is>
          <t>HERRLJUNGA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19248-2020</t>
        </is>
      </c>
      <c r="B64" s="1" t="n">
        <v>43937</v>
      </c>
      <c r="C64" s="1" t="n">
        <v>45660</v>
      </c>
      <c r="D64" t="inlineStr">
        <is>
          <t>VÄSTRA GÖTALANDS LÄN</t>
        </is>
      </c>
      <c r="E64" t="inlineStr">
        <is>
          <t>HERRLJUNGA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21069-2020</t>
        </is>
      </c>
      <c r="B65" s="1" t="n">
        <v>43951</v>
      </c>
      <c r="C65" s="1" t="n">
        <v>45660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21394-2020</t>
        </is>
      </c>
      <c r="B66" s="1" t="n">
        <v>43955</v>
      </c>
      <c r="C66" s="1" t="n">
        <v>45660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22026-2020</t>
        </is>
      </c>
      <c r="B67" s="1" t="n">
        <v>43959</v>
      </c>
      <c r="C67" s="1" t="n">
        <v>45660</v>
      </c>
      <c r="D67" t="inlineStr">
        <is>
          <t>VÄSTRA GÖTALANDS LÄN</t>
        </is>
      </c>
      <c r="E67" t="inlineStr">
        <is>
          <t>HERRLJUNGA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23534-2020</t>
        </is>
      </c>
      <c r="B68" s="1" t="n">
        <v>43969</v>
      </c>
      <c r="C68" s="1" t="n">
        <v>45660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23629-2020</t>
        </is>
      </c>
      <c r="B69" s="1" t="n">
        <v>43969</v>
      </c>
      <c r="C69" s="1" t="n">
        <v>45660</v>
      </c>
      <c r="D69" t="inlineStr">
        <is>
          <t>VÄSTRA GÖTALANDS LÄN</t>
        </is>
      </c>
      <c r="E69" t="inlineStr">
        <is>
          <t>HERRLJUNGA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23965-2020</t>
        </is>
      </c>
      <c r="B70" s="1" t="n">
        <v>43971</v>
      </c>
      <c r="C70" s="1" t="n">
        <v>45660</v>
      </c>
      <c r="D70" t="inlineStr">
        <is>
          <t>VÄSTRA GÖTALANDS LÄN</t>
        </is>
      </c>
      <c r="E70" t="inlineStr">
        <is>
          <t>HERRLJUNGA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24786-2020</t>
        </is>
      </c>
      <c r="B71" s="1" t="n">
        <v>43978</v>
      </c>
      <c r="C71" s="1" t="n">
        <v>45660</v>
      </c>
      <c r="D71" t="inlineStr">
        <is>
          <t>VÄSTRA GÖTALANDS LÄN</t>
        </is>
      </c>
      <c r="E71" t="inlineStr">
        <is>
          <t>HERRLJUNGA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27022-2020</t>
        </is>
      </c>
      <c r="B72" s="1" t="n">
        <v>43991</v>
      </c>
      <c r="C72" s="1" t="n">
        <v>45660</v>
      </c>
      <c r="D72" t="inlineStr">
        <is>
          <t>VÄSTRA GÖTALANDS LÄN</t>
        </is>
      </c>
      <c r="E72" t="inlineStr">
        <is>
          <t>HERRLJUNGA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33481-2020</t>
        </is>
      </c>
      <c r="B73" s="1" t="n">
        <v>44024</v>
      </c>
      <c r="C73" s="1" t="n">
        <v>45660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35449-2020</t>
        </is>
      </c>
      <c r="B74" s="1" t="n">
        <v>44042</v>
      </c>
      <c r="C74" s="1" t="n">
        <v>45660</v>
      </c>
      <c r="D74" t="inlineStr">
        <is>
          <t>VÄSTRA GÖTALANDS LÄN</t>
        </is>
      </c>
      <c r="E74" t="inlineStr">
        <is>
          <t>HERRLJUNGA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37941-2020</t>
        </is>
      </c>
      <c r="B75" s="1" t="n">
        <v>44057</v>
      </c>
      <c r="C75" s="1" t="n">
        <v>45660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37940-2020</t>
        </is>
      </c>
      <c r="B76" s="1" t="n">
        <v>44057</v>
      </c>
      <c r="C76" s="1" t="n">
        <v>45660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37942-2020</t>
        </is>
      </c>
      <c r="B77" s="1" t="n">
        <v>44057</v>
      </c>
      <c r="C77" s="1" t="n">
        <v>45660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39124-2020</t>
        </is>
      </c>
      <c r="B78" s="1" t="n">
        <v>44063</v>
      </c>
      <c r="C78" s="1" t="n">
        <v>45660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39257-2020</t>
        </is>
      </c>
      <c r="B79" s="1" t="n">
        <v>44063</v>
      </c>
      <c r="C79" s="1" t="n">
        <v>45660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40142-2020</t>
        </is>
      </c>
      <c r="B80" s="1" t="n">
        <v>44068</v>
      </c>
      <c r="C80" s="1" t="n">
        <v>45660</v>
      </c>
      <c r="D80" t="inlineStr">
        <is>
          <t>VÄSTRA GÖTALANDS LÄN</t>
        </is>
      </c>
      <c r="E80" t="inlineStr">
        <is>
          <t>HERRLJUNGA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40570-2020</t>
        </is>
      </c>
      <c r="B81" s="1" t="n">
        <v>44069</v>
      </c>
      <c r="C81" s="1" t="n">
        <v>45660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42579-2020</t>
        </is>
      </c>
      <c r="B82" s="1" t="n">
        <v>44077</v>
      </c>
      <c r="C82" s="1" t="n">
        <v>45660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42943-2020</t>
        </is>
      </c>
      <c r="B83" s="1" t="n">
        <v>44078</v>
      </c>
      <c r="C83" s="1" t="n">
        <v>45660</v>
      </c>
      <c r="D83" t="inlineStr">
        <is>
          <t>VÄSTRA GÖTALANDS LÄN</t>
        </is>
      </c>
      <c r="E83" t="inlineStr">
        <is>
          <t>HERRLJUNGA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44547-2020</t>
        </is>
      </c>
      <c r="B84" s="1" t="n">
        <v>44085</v>
      </c>
      <c r="C84" s="1" t="n">
        <v>45660</v>
      </c>
      <c r="D84" t="inlineStr">
        <is>
          <t>VÄSTRA GÖTALANDS LÄN</t>
        </is>
      </c>
      <c r="E84" t="inlineStr">
        <is>
          <t>HERRLJUNGA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44794-2020</t>
        </is>
      </c>
      <c r="B85" s="1" t="n">
        <v>44085</v>
      </c>
      <c r="C85" s="1" t="n">
        <v>45660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44782-2020</t>
        </is>
      </c>
      <c r="B86" s="1" t="n">
        <v>44085</v>
      </c>
      <c r="C86" s="1" t="n">
        <v>45660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44790-2020</t>
        </is>
      </c>
      <c r="B87" s="1" t="n">
        <v>44085</v>
      </c>
      <c r="C87" s="1" t="n">
        <v>45660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44787-2020</t>
        </is>
      </c>
      <c r="B88" s="1" t="n">
        <v>44085</v>
      </c>
      <c r="C88" s="1" t="n">
        <v>45660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45701-2020</t>
        </is>
      </c>
      <c r="B89" s="1" t="n">
        <v>44090</v>
      </c>
      <c r="C89" s="1" t="n">
        <v>45660</v>
      </c>
      <c r="D89" t="inlineStr">
        <is>
          <t>VÄSTRA GÖTALANDS LÄN</t>
        </is>
      </c>
      <c r="E89" t="inlineStr">
        <is>
          <t>HERRLJUNGA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45761-2020</t>
        </is>
      </c>
      <c r="B90" s="1" t="n">
        <v>44090</v>
      </c>
      <c r="C90" s="1" t="n">
        <v>45660</v>
      </c>
      <c r="D90" t="inlineStr">
        <is>
          <t>VÄSTRA GÖTALANDS LÄN</t>
        </is>
      </c>
      <c r="E90" t="inlineStr">
        <is>
          <t>HERRLJUNGA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48300-2020</t>
        </is>
      </c>
      <c r="B91" s="1" t="n">
        <v>44097</v>
      </c>
      <c r="C91" s="1" t="n">
        <v>45660</v>
      </c>
      <c r="D91" t="inlineStr">
        <is>
          <t>VÄSTRA GÖTALANDS LÄN</t>
        </is>
      </c>
      <c r="E91" t="inlineStr">
        <is>
          <t>HERRLJUNGA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50514-2020</t>
        </is>
      </c>
      <c r="B92" s="1" t="n">
        <v>44105</v>
      </c>
      <c r="C92" s="1" t="n">
        <v>45660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53745-2020</t>
        </is>
      </c>
      <c r="B93" s="1" t="n">
        <v>44124</v>
      </c>
      <c r="C93" s="1" t="n">
        <v>45660</v>
      </c>
      <c r="D93" t="inlineStr">
        <is>
          <t>VÄSTRA GÖTALANDS LÄN</t>
        </is>
      </c>
      <c r="E93" t="inlineStr">
        <is>
          <t>HERRLJUNGA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54169-2020</t>
        </is>
      </c>
      <c r="B94" s="1" t="n">
        <v>44125</v>
      </c>
      <c r="C94" s="1" t="n">
        <v>45660</v>
      </c>
      <c r="D94" t="inlineStr">
        <is>
          <t>VÄSTRA GÖTALANDS LÄN</t>
        </is>
      </c>
      <c r="E94" t="inlineStr">
        <is>
          <t>HERRLJUNGA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56925-2020</t>
        </is>
      </c>
      <c r="B95" s="1" t="n">
        <v>44138</v>
      </c>
      <c r="C95" s="1" t="n">
        <v>45660</v>
      </c>
      <c r="D95" t="inlineStr">
        <is>
          <t>VÄSTRA GÖTALANDS LÄN</t>
        </is>
      </c>
      <c r="E95" t="inlineStr">
        <is>
          <t>HERRLJUNGA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57536-2020</t>
        </is>
      </c>
      <c r="B96" s="1" t="n">
        <v>44140</v>
      </c>
      <c r="C96" s="1" t="n">
        <v>45660</v>
      </c>
      <c r="D96" t="inlineStr">
        <is>
          <t>VÄSTRA GÖTALANDS LÄN</t>
        </is>
      </c>
      <c r="E96" t="inlineStr">
        <is>
          <t>HERRLJUNGA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61103-2020</t>
        </is>
      </c>
      <c r="B97" s="1" t="n">
        <v>44154</v>
      </c>
      <c r="C97" s="1" t="n">
        <v>45660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65083-2020</t>
        </is>
      </c>
      <c r="B98" s="1" t="n">
        <v>44172</v>
      </c>
      <c r="C98" s="1" t="n">
        <v>45660</v>
      </c>
      <c r="D98" t="inlineStr">
        <is>
          <t>VÄSTRA GÖTALANDS LÄN</t>
        </is>
      </c>
      <c r="E98" t="inlineStr">
        <is>
          <t>HERRLJUNGA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65528-2020</t>
        </is>
      </c>
      <c r="B99" s="1" t="n">
        <v>44172</v>
      </c>
      <c r="C99" s="1" t="n">
        <v>45660</v>
      </c>
      <c r="D99" t="inlineStr">
        <is>
          <t>VÄSTRA GÖTALANDS LÄN</t>
        </is>
      </c>
      <c r="E99" t="inlineStr">
        <is>
          <t>HERRLJUNGA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65878-2020</t>
        </is>
      </c>
      <c r="B100" s="1" t="n">
        <v>44174</v>
      </c>
      <c r="C100" s="1" t="n">
        <v>45660</v>
      </c>
      <c r="D100" t="inlineStr">
        <is>
          <t>VÄSTRA GÖTALANDS LÄN</t>
        </is>
      </c>
      <c r="E100" t="inlineStr">
        <is>
          <t>HERRLJUNGA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65929-2020</t>
        </is>
      </c>
      <c r="B101" s="1" t="n">
        <v>44175</v>
      </c>
      <c r="C101" s="1" t="n">
        <v>45660</v>
      </c>
      <c r="D101" t="inlineStr">
        <is>
          <t>VÄSTRA GÖTALANDS LÄN</t>
        </is>
      </c>
      <c r="E101" t="inlineStr">
        <is>
          <t>HERRLJUNGA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66728-2020</t>
        </is>
      </c>
      <c r="B102" s="1" t="n">
        <v>44179</v>
      </c>
      <c r="C102" s="1" t="n">
        <v>45660</v>
      </c>
      <c r="D102" t="inlineStr">
        <is>
          <t>VÄSTRA GÖTALANDS LÄN</t>
        </is>
      </c>
      <c r="E102" t="inlineStr">
        <is>
          <t>HERRLJUNGA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143-2021</t>
        </is>
      </c>
      <c r="B103" s="1" t="n">
        <v>44200</v>
      </c>
      <c r="C103" s="1" t="n">
        <v>45660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366-2021</t>
        </is>
      </c>
      <c r="B104" s="1" t="n">
        <v>44201</v>
      </c>
      <c r="C104" s="1" t="n">
        <v>45660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364-2021</t>
        </is>
      </c>
      <c r="B105" s="1" t="n">
        <v>44201</v>
      </c>
      <c r="C105" s="1" t="n">
        <v>45660</v>
      </c>
      <c r="D105" t="inlineStr">
        <is>
          <t>VÄSTRA GÖTALANDS LÄN</t>
        </is>
      </c>
      <c r="E105" t="inlineStr">
        <is>
          <t>HERRLJUNGA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734-2021</t>
        </is>
      </c>
      <c r="B106" s="1" t="n">
        <v>44204</v>
      </c>
      <c r="C106" s="1" t="n">
        <v>45660</v>
      </c>
      <c r="D106" t="inlineStr">
        <is>
          <t>VÄSTRA GÖTALANDS LÄN</t>
        </is>
      </c>
      <c r="E106" t="inlineStr">
        <is>
          <t>HERRLJUNGA</t>
        </is>
      </c>
      <c r="F106" t="inlineStr">
        <is>
          <t>Övriga statliga verk och myndigheter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1446-2021</t>
        </is>
      </c>
      <c r="B107" s="1" t="n">
        <v>44208</v>
      </c>
      <c r="C107" s="1" t="n">
        <v>45660</v>
      </c>
      <c r="D107" t="inlineStr">
        <is>
          <t>VÄSTRA GÖTALANDS LÄN</t>
        </is>
      </c>
      <c r="E107" t="inlineStr">
        <is>
          <t>HERRLJUNGA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2838-2021</t>
        </is>
      </c>
      <c r="B108" s="1" t="n">
        <v>44216</v>
      </c>
      <c r="C108" s="1" t="n">
        <v>45660</v>
      </c>
      <c r="D108" t="inlineStr">
        <is>
          <t>VÄSTRA GÖTALANDS LÄN</t>
        </is>
      </c>
      <c r="E108" t="inlineStr">
        <is>
          <t>HERRLJUNGA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3860-2021</t>
        </is>
      </c>
      <c r="B109" s="1" t="n">
        <v>44222</v>
      </c>
      <c r="C109" s="1" t="n">
        <v>45660</v>
      </c>
      <c r="D109" t="inlineStr">
        <is>
          <t>VÄSTRA GÖTALANDS LÄN</t>
        </is>
      </c>
      <c r="E109" t="inlineStr">
        <is>
          <t>HERRLJUNGA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4706-2021</t>
        </is>
      </c>
      <c r="B110" s="1" t="n">
        <v>44225</v>
      </c>
      <c r="C110" s="1" t="n">
        <v>45660</v>
      </c>
      <c r="D110" t="inlineStr">
        <is>
          <t>VÄSTRA GÖTALANDS LÄN</t>
        </is>
      </c>
      <c r="E110" t="inlineStr">
        <is>
          <t>HERRLJUNGA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6628-2021</t>
        </is>
      </c>
      <c r="B111" s="1" t="n">
        <v>44236</v>
      </c>
      <c r="C111" s="1" t="n">
        <v>45660</v>
      </c>
      <c r="D111" t="inlineStr">
        <is>
          <t>VÄSTRA GÖTALANDS LÄN</t>
        </is>
      </c>
      <c r="E111" t="inlineStr">
        <is>
          <t>HERRLJUNGA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6675-2021</t>
        </is>
      </c>
      <c r="B112" s="1" t="n">
        <v>44236</v>
      </c>
      <c r="C112" s="1" t="n">
        <v>45660</v>
      </c>
      <c r="D112" t="inlineStr">
        <is>
          <t>VÄSTRA GÖTALANDS LÄN</t>
        </is>
      </c>
      <c r="E112" t="inlineStr">
        <is>
          <t>HERRLJUNGA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6625-2021</t>
        </is>
      </c>
      <c r="B113" s="1" t="n">
        <v>44236</v>
      </c>
      <c r="C113" s="1" t="n">
        <v>45660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7769-2021</t>
        </is>
      </c>
      <c r="B114" s="1" t="n">
        <v>44242</v>
      </c>
      <c r="C114" s="1" t="n">
        <v>45660</v>
      </c>
      <c r="D114" t="inlineStr">
        <is>
          <t>VÄSTRA GÖTALANDS LÄN</t>
        </is>
      </c>
      <c r="E114" t="inlineStr">
        <is>
          <t>HERRLJUNGA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7773-2021</t>
        </is>
      </c>
      <c r="B115" s="1" t="n">
        <v>44242</v>
      </c>
      <c r="C115" s="1" t="n">
        <v>45660</v>
      </c>
      <c r="D115" t="inlineStr">
        <is>
          <t>VÄSTRA GÖTALANDS LÄN</t>
        </is>
      </c>
      <c r="E115" t="inlineStr">
        <is>
          <t>HERRLJUNGA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8236-2021</t>
        </is>
      </c>
      <c r="B116" s="1" t="n">
        <v>44244</v>
      </c>
      <c r="C116" s="1" t="n">
        <v>45660</v>
      </c>
      <c r="D116" t="inlineStr">
        <is>
          <t>VÄSTRA GÖTALANDS LÄN</t>
        </is>
      </c>
      <c r="E116" t="inlineStr">
        <is>
          <t>HERRLJUNGA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8659-2021</t>
        </is>
      </c>
      <c r="B117" s="1" t="n">
        <v>44246</v>
      </c>
      <c r="C117" s="1" t="n">
        <v>45660</v>
      </c>
      <c r="D117" t="inlineStr">
        <is>
          <t>VÄSTRA GÖTALANDS LÄN</t>
        </is>
      </c>
      <c r="E117" t="inlineStr">
        <is>
          <t>HERRLJUNGA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9332-2021</t>
        </is>
      </c>
      <c r="B118" s="1" t="n">
        <v>44250</v>
      </c>
      <c r="C118" s="1" t="n">
        <v>45660</v>
      </c>
      <c r="D118" t="inlineStr">
        <is>
          <t>VÄSTRA GÖTALANDS LÄN</t>
        </is>
      </c>
      <c r="E118" t="inlineStr">
        <is>
          <t>HERRLJUNGA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9413-2021</t>
        </is>
      </c>
      <c r="B119" s="1" t="n">
        <v>44251</v>
      </c>
      <c r="C119" s="1" t="n">
        <v>45660</v>
      </c>
      <c r="D119" t="inlineStr">
        <is>
          <t>VÄSTRA GÖTALANDS LÄN</t>
        </is>
      </c>
      <c r="E119" t="inlineStr">
        <is>
          <t>HERRLJUNGA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10166-2021</t>
        </is>
      </c>
      <c r="B120" s="1" t="n">
        <v>44256</v>
      </c>
      <c r="C120" s="1" t="n">
        <v>45660</v>
      </c>
      <c r="D120" t="inlineStr">
        <is>
          <t>VÄSTRA GÖTALANDS LÄN</t>
        </is>
      </c>
      <c r="E120" t="inlineStr">
        <is>
          <t>HERRLJUNGA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10173-2021</t>
        </is>
      </c>
      <c r="B121" s="1" t="n">
        <v>44256</v>
      </c>
      <c r="C121" s="1" t="n">
        <v>45660</v>
      </c>
      <c r="D121" t="inlineStr">
        <is>
          <t>VÄSTRA GÖTALANDS LÄN</t>
        </is>
      </c>
      <c r="E121" t="inlineStr">
        <is>
          <t>HERRLJUNGA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12654-2021</t>
        </is>
      </c>
      <c r="B122" s="1" t="n">
        <v>44270</v>
      </c>
      <c r="C122" s="1" t="n">
        <v>45660</v>
      </c>
      <c r="D122" t="inlineStr">
        <is>
          <t>VÄSTRA GÖTALANDS LÄN</t>
        </is>
      </c>
      <c r="E122" t="inlineStr">
        <is>
          <t>HERRLJUNGA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16919-2021</t>
        </is>
      </c>
      <c r="B123" s="1" t="n">
        <v>44295</v>
      </c>
      <c r="C123" s="1" t="n">
        <v>45660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16927-2021</t>
        </is>
      </c>
      <c r="B124" s="1" t="n">
        <v>44295</v>
      </c>
      <c r="C124" s="1" t="n">
        <v>45660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16916-2021</t>
        </is>
      </c>
      <c r="B125" s="1" t="n">
        <v>44295</v>
      </c>
      <c r="C125" s="1" t="n">
        <v>45660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17028-2021</t>
        </is>
      </c>
      <c r="B126" s="1" t="n">
        <v>44295</v>
      </c>
      <c r="C126" s="1" t="n">
        <v>45660</v>
      </c>
      <c r="D126" t="inlineStr">
        <is>
          <t>VÄSTRA GÖTALANDS LÄN</t>
        </is>
      </c>
      <c r="E126" t="inlineStr">
        <is>
          <t>HERRLJUNGA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17032-2021</t>
        </is>
      </c>
      <c r="B127" s="1" t="n">
        <v>44295</v>
      </c>
      <c r="C127" s="1" t="n">
        <v>45660</v>
      </c>
      <c r="D127" t="inlineStr">
        <is>
          <t>VÄSTRA GÖTALANDS LÄN</t>
        </is>
      </c>
      <c r="E127" t="inlineStr">
        <is>
          <t>HERRLJUNGA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17756-2021</t>
        </is>
      </c>
      <c r="B128" s="1" t="n">
        <v>44300</v>
      </c>
      <c r="C128" s="1" t="n">
        <v>45660</v>
      </c>
      <c r="D128" t="inlineStr">
        <is>
          <t>VÄSTRA GÖTALANDS LÄN</t>
        </is>
      </c>
      <c r="E128" t="inlineStr">
        <is>
          <t>HERRLJUNGA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18358-2021</t>
        </is>
      </c>
      <c r="B129" s="1" t="n">
        <v>44305</v>
      </c>
      <c r="C129" s="1" t="n">
        <v>45660</v>
      </c>
      <c r="D129" t="inlineStr">
        <is>
          <t>VÄSTRA GÖTALANDS LÄN</t>
        </is>
      </c>
      <c r="E129" t="inlineStr">
        <is>
          <t>HERRLJUNGA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18832-2021</t>
        </is>
      </c>
      <c r="B130" s="1" t="n">
        <v>44307</v>
      </c>
      <c r="C130" s="1" t="n">
        <v>45660</v>
      </c>
      <c r="D130" t="inlineStr">
        <is>
          <t>VÄSTRA GÖTALANDS LÄN</t>
        </is>
      </c>
      <c r="E130" t="inlineStr">
        <is>
          <t>HERRLJUNGA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19937-2021</t>
        </is>
      </c>
      <c r="B131" s="1" t="n">
        <v>44313</v>
      </c>
      <c r="C131" s="1" t="n">
        <v>45660</v>
      </c>
      <c r="D131" t="inlineStr">
        <is>
          <t>VÄSTRA GÖTALANDS LÄN</t>
        </is>
      </c>
      <c r="E131" t="inlineStr">
        <is>
          <t>HERRLJUNGA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19941-2021</t>
        </is>
      </c>
      <c r="B132" s="1" t="n">
        <v>44313</v>
      </c>
      <c r="C132" s="1" t="n">
        <v>45660</v>
      </c>
      <c r="D132" t="inlineStr">
        <is>
          <t>VÄSTRA GÖTALANDS LÄN</t>
        </is>
      </c>
      <c r="E132" t="inlineStr">
        <is>
          <t>HERRLJUNGA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20005-2021</t>
        </is>
      </c>
      <c r="B133" s="1" t="n">
        <v>44313</v>
      </c>
      <c r="C133" s="1" t="n">
        <v>45660</v>
      </c>
      <c r="D133" t="inlineStr">
        <is>
          <t>VÄSTRA GÖTALANDS LÄN</t>
        </is>
      </c>
      <c r="E133" t="inlineStr">
        <is>
          <t>HERRLJUNGA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21116-2021</t>
        </is>
      </c>
      <c r="B134" s="1" t="n">
        <v>44320</v>
      </c>
      <c r="C134" s="1" t="n">
        <v>45660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22710-2021</t>
        </is>
      </c>
      <c r="B135" s="1" t="n">
        <v>44327</v>
      </c>
      <c r="C135" s="1" t="n">
        <v>45660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30180-2021</t>
        </is>
      </c>
      <c r="B136" s="1" t="n">
        <v>44363</v>
      </c>
      <c r="C136" s="1" t="n">
        <v>45660</v>
      </c>
      <c r="D136" t="inlineStr">
        <is>
          <t>VÄSTRA GÖTALANDS LÄN</t>
        </is>
      </c>
      <c r="E136" t="inlineStr">
        <is>
          <t>HERRLJUNGA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33784-2021</t>
        </is>
      </c>
      <c r="B137" s="1" t="n">
        <v>44378</v>
      </c>
      <c r="C137" s="1" t="n">
        <v>45660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34423-2021</t>
        </is>
      </c>
      <c r="B138" s="1" t="n">
        <v>44380</v>
      </c>
      <c r="C138" s="1" t="n">
        <v>45660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34422-2021</t>
        </is>
      </c>
      <c r="B139" s="1" t="n">
        <v>44380</v>
      </c>
      <c r="C139" s="1" t="n">
        <v>45660</v>
      </c>
      <c r="D139" t="inlineStr">
        <is>
          <t>VÄSTRA GÖTALANDS LÄN</t>
        </is>
      </c>
      <c r="E139" t="inlineStr">
        <is>
          <t>HERRLJUNGA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37152-2021</t>
        </is>
      </c>
      <c r="B140" s="1" t="n">
        <v>44396</v>
      </c>
      <c r="C140" s="1" t="n">
        <v>45660</v>
      </c>
      <c r="D140" t="inlineStr">
        <is>
          <t>VÄSTRA GÖTALANDS LÄN</t>
        </is>
      </c>
      <c r="E140" t="inlineStr">
        <is>
          <t>HERRLJUNGA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39654-2021</t>
        </is>
      </c>
      <c r="B141" s="1" t="n">
        <v>44417</v>
      </c>
      <c r="C141" s="1" t="n">
        <v>45660</v>
      </c>
      <c r="D141" t="inlineStr">
        <is>
          <t>VÄSTRA GÖTALANDS LÄN</t>
        </is>
      </c>
      <c r="E141" t="inlineStr">
        <is>
          <t>HERRLJUNGA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39724-2021</t>
        </is>
      </c>
      <c r="B142" s="1" t="n">
        <v>44417</v>
      </c>
      <c r="C142" s="1" t="n">
        <v>45660</v>
      </c>
      <c r="D142" t="inlineStr">
        <is>
          <t>VÄSTRA GÖTALANDS LÄN</t>
        </is>
      </c>
      <c r="E142" t="inlineStr">
        <is>
          <t>HERRLJUNGA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39732-2021</t>
        </is>
      </c>
      <c r="B143" s="1" t="n">
        <v>44417</v>
      </c>
      <c r="C143" s="1" t="n">
        <v>45660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39725-2021</t>
        </is>
      </c>
      <c r="B144" s="1" t="n">
        <v>44417</v>
      </c>
      <c r="C144" s="1" t="n">
        <v>45660</v>
      </c>
      <c r="D144" t="inlineStr">
        <is>
          <t>VÄSTRA GÖTALANDS LÄN</t>
        </is>
      </c>
      <c r="E144" t="inlineStr">
        <is>
          <t>HERRLJUNGA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39730-2021</t>
        </is>
      </c>
      <c r="B145" s="1" t="n">
        <v>44417</v>
      </c>
      <c r="C145" s="1" t="n">
        <v>45660</v>
      </c>
      <c r="D145" t="inlineStr">
        <is>
          <t>VÄSTRA GÖTALANDS LÄN</t>
        </is>
      </c>
      <c r="E145" t="inlineStr">
        <is>
          <t>HERRLJUNGA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40384-2021</t>
        </is>
      </c>
      <c r="B146" s="1" t="n">
        <v>44419</v>
      </c>
      <c r="C146" s="1" t="n">
        <v>45660</v>
      </c>
      <c r="D146" t="inlineStr">
        <is>
          <t>VÄSTRA GÖTALANDS LÄN</t>
        </is>
      </c>
      <c r="E146" t="inlineStr">
        <is>
          <t>HERRLJUNGA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41048-2021</t>
        </is>
      </c>
      <c r="B147" s="1" t="n">
        <v>44421</v>
      </c>
      <c r="C147" s="1" t="n">
        <v>45660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41087-2021</t>
        </is>
      </c>
      <c r="B148" s="1" t="n">
        <v>44422</v>
      </c>
      <c r="C148" s="1" t="n">
        <v>45660</v>
      </c>
      <c r="D148" t="inlineStr">
        <is>
          <t>VÄSTRA GÖTALANDS LÄN</t>
        </is>
      </c>
      <c r="E148" t="inlineStr">
        <is>
          <t>HERRLJUNGA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42986-2021</t>
        </is>
      </c>
      <c r="B149" s="1" t="n">
        <v>44431</v>
      </c>
      <c r="C149" s="1" t="n">
        <v>45660</v>
      </c>
      <c r="D149" t="inlineStr">
        <is>
          <t>VÄSTRA GÖTALANDS LÄN</t>
        </is>
      </c>
      <c r="E149" t="inlineStr">
        <is>
          <t>HERRLJUNGA</t>
        </is>
      </c>
      <c r="F149" t="inlineStr">
        <is>
          <t>Kyrkan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45829-2021</t>
        </is>
      </c>
      <c r="B150" s="1" t="n">
        <v>44441</v>
      </c>
      <c r="C150" s="1" t="n">
        <v>45660</v>
      </c>
      <c r="D150" t="inlineStr">
        <is>
          <t>VÄSTRA GÖTALANDS LÄN</t>
        </is>
      </c>
      <c r="E150" t="inlineStr">
        <is>
          <t>HERRLJUNGA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45832-2021</t>
        </is>
      </c>
      <c r="B151" s="1" t="n">
        <v>44441</v>
      </c>
      <c r="C151" s="1" t="n">
        <v>45660</v>
      </c>
      <c r="D151" t="inlineStr">
        <is>
          <t>VÄSTRA GÖTALANDS LÄN</t>
        </is>
      </c>
      <c r="E151" t="inlineStr">
        <is>
          <t>HERRLJUNGA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45833-2021</t>
        </is>
      </c>
      <c r="B152" s="1" t="n">
        <v>44441</v>
      </c>
      <c r="C152" s="1" t="n">
        <v>45660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47186-2021</t>
        </is>
      </c>
      <c r="B153" s="1" t="n">
        <v>44447</v>
      </c>
      <c r="C153" s="1" t="n">
        <v>45660</v>
      </c>
      <c r="D153" t="inlineStr">
        <is>
          <t>VÄSTRA GÖTALANDS LÄN</t>
        </is>
      </c>
      <c r="E153" t="inlineStr">
        <is>
          <t>HERRLJUNGA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47284-2021</t>
        </is>
      </c>
      <c r="B154" s="1" t="n">
        <v>44447</v>
      </c>
      <c r="C154" s="1" t="n">
        <v>45660</v>
      </c>
      <c r="D154" t="inlineStr">
        <is>
          <t>VÄSTRA GÖTALANDS LÄN</t>
        </is>
      </c>
      <c r="E154" t="inlineStr">
        <is>
          <t>HERRLJUNGA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48278-2021</t>
        </is>
      </c>
      <c r="B155" s="1" t="n">
        <v>44449</v>
      </c>
      <c r="C155" s="1" t="n">
        <v>45660</v>
      </c>
      <c r="D155" t="inlineStr">
        <is>
          <t>VÄSTRA GÖTALANDS LÄN</t>
        </is>
      </c>
      <c r="E155" t="inlineStr">
        <is>
          <t>HERRLJUNGA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48259-2021</t>
        </is>
      </c>
      <c r="B156" s="1" t="n">
        <v>44449</v>
      </c>
      <c r="C156" s="1" t="n">
        <v>45660</v>
      </c>
      <c r="D156" t="inlineStr">
        <is>
          <t>VÄSTRA GÖTALANDS LÄN</t>
        </is>
      </c>
      <c r="E156" t="inlineStr">
        <is>
          <t>HERRLJUNGA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48893-2021</t>
        </is>
      </c>
      <c r="B157" s="1" t="n">
        <v>44452</v>
      </c>
      <c r="C157" s="1" t="n">
        <v>45660</v>
      </c>
      <c r="D157" t="inlineStr">
        <is>
          <t>VÄSTRA GÖTALANDS LÄN</t>
        </is>
      </c>
      <c r="E157" t="inlineStr">
        <is>
          <t>HERRLJUNGA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49988-2021</t>
        </is>
      </c>
      <c r="B158" s="1" t="n">
        <v>44453</v>
      </c>
      <c r="C158" s="1" t="n">
        <v>45660</v>
      </c>
      <c r="D158" t="inlineStr">
        <is>
          <t>VÄSTRA GÖTALANDS LÄN</t>
        </is>
      </c>
      <c r="E158" t="inlineStr">
        <is>
          <t>HERRLJUNGA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49595-2021</t>
        </is>
      </c>
      <c r="B159" s="1" t="n">
        <v>44455</v>
      </c>
      <c r="C159" s="1" t="n">
        <v>45660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49597-2021</t>
        </is>
      </c>
      <c r="B160" s="1" t="n">
        <v>44455</v>
      </c>
      <c r="C160" s="1" t="n">
        <v>45660</v>
      </c>
      <c r="D160" t="inlineStr">
        <is>
          <t>VÄSTRA GÖTALANDS LÄN</t>
        </is>
      </c>
      <c r="E160" t="inlineStr">
        <is>
          <t>HERRLJUNGA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50492-2021</t>
        </is>
      </c>
      <c r="B161" s="1" t="n">
        <v>44459</v>
      </c>
      <c r="C161" s="1" t="n">
        <v>45660</v>
      </c>
      <c r="D161" t="inlineStr">
        <is>
          <t>VÄSTRA GÖTALANDS LÄN</t>
        </is>
      </c>
      <c r="E161" t="inlineStr">
        <is>
          <t>HERRLJUNGA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50932-2021</t>
        </is>
      </c>
      <c r="B162" s="1" t="n">
        <v>44459</v>
      </c>
      <c r="C162" s="1" t="n">
        <v>45660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54510-2021</t>
        </is>
      </c>
      <c r="B163" s="1" t="n">
        <v>44473</v>
      </c>
      <c r="C163" s="1" t="n">
        <v>45660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54875-2021</t>
        </is>
      </c>
      <c r="B164" s="1" t="n">
        <v>44474</v>
      </c>
      <c r="C164" s="1" t="n">
        <v>45660</v>
      </c>
      <c r="D164" t="inlineStr">
        <is>
          <t>VÄSTRA GÖTALANDS LÄN</t>
        </is>
      </c>
      <c r="E164" t="inlineStr">
        <is>
          <t>HERRLJUNGA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54914-2021</t>
        </is>
      </c>
      <c r="B165" s="1" t="n">
        <v>44474</v>
      </c>
      <c r="C165" s="1" t="n">
        <v>45660</v>
      </c>
      <c r="D165" t="inlineStr">
        <is>
          <t>VÄSTRA GÖTALANDS LÄN</t>
        </is>
      </c>
      <c r="E165" t="inlineStr">
        <is>
          <t>HERRLJUNGA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54920-2021</t>
        </is>
      </c>
      <c r="B166" s="1" t="n">
        <v>44474</v>
      </c>
      <c r="C166" s="1" t="n">
        <v>45660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55826-2021</t>
        </is>
      </c>
      <c r="B167" s="1" t="n">
        <v>44476</v>
      </c>
      <c r="C167" s="1" t="n">
        <v>45660</v>
      </c>
      <c r="D167" t="inlineStr">
        <is>
          <t>VÄSTRA GÖTALANDS LÄN</t>
        </is>
      </c>
      <c r="E167" t="inlineStr">
        <is>
          <t>HERRLJUNGA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60402-2021</t>
        </is>
      </c>
      <c r="B168" s="1" t="n">
        <v>44496</v>
      </c>
      <c r="C168" s="1" t="n">
        <v>45660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60406-2021</t>
        </is>
      </c>
      <c r="B169" s="1" t="n">
        <v>44496</v>
      </c>
      <c r="C169" s="1" t="n">
        <v>45660</v>
      </c>
      <c r="D169" t="inlineStr">
        <is>
          <t>VÄSTRA GÖTALANDS LÄN</t>
        </is>
      </c>
      <c r="E169" t="inlineStr">
        <is>
          <t>HERRLJUNGA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60851-2021</t>
        </is>
      </c>
      <c r="B170" s="1" t="n">
        <v>44497</v>
      </c>
      <c r="C170" s="1" t="n">
        <v>45660</v>
      </c>
      <c r="D170" t="inlineStr">
        <is>
          <t>VÄSTRA GÖTALANDS LÄN</t>
        </is>
      </c>
      <c r="E170" t="inlineStr">
        <is>
          <t>HERRLJUNGA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62165-2021</t>
        </is>
      </c>
      <c r="B171" s="1" t="n">
        <v>44502</v>
      </c>
      <c r="C171" s="1" t="n">
        <v>45660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64516-2021</t>
        </is>
      </c>
      <c r="B172" s="1" t="n">
        <v>44511</v>
      </c>
      <c r="C172" s="1" t="n">
        <v>45660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65082-2021</t>
        </is>
      </c>
      <c r="B173" s="1" t="n">
        <v>44515</v>
      </c>
      <c r="C173" s="1" t="n">
        <v>45660</v>
      </c>
      <c r="D173" t="inlineStr">
        <is>
          <t>VÄSTRA GÖTALANDS LÄN</t>
        </is>
      </c>
      <c r="E173" t="inlineStr">
        <is>
          <t>HERRLJUNGA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65083-2021</t>
        </is>
      </c>
      <c r="B174" s="1" t="n">
        <v>44515</v>
      </c>
      <c r="C174" s="1" t="n">
        <v>45660</v>
      </c>
      <c r="D174" t="inlineStr">
        <is>
          <t>VÄSTRA GÖTALANDS LÄN</t>
        </is>
      </c>
      <c r="E174" t="inlineStr">
        <is>
          <t>HERRLJUNGA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65078-2021</t>
        </is>
      </c>
      <c r="B175" s="1" t="n">
        <v>44515</v>
      </c>
      <c r="C175" s="1" t="n">
        <v>45660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65090-2021</t>
        </is>
      </c>
      <c r="B176" s="1" t="n">
        <v>44515</v>
      </c>
      <c r="C176" s="1" t="n">
        <v>45660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65094-2021</t>
        </is>
      </c>
      <c r="B177" s="1" t="n">
        <v>44515</v>
      </c>
      <c r="C177" s="1" t="n">
        <v>45660</v>
      </c>
      <c r="D177" t="inlineStr">
        <is>
          <t>VÄSTRA GÖTALANDS LÄN</t>
        </is>
      </c>
      <c r="E177" t="inlineStr">
        <is>
          <t>HERRLJUNGA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66525-2021</t>
        </is>
      </c>
      <c r="B178" s="1" t="n">
        <v>44519</v>
      </c>
      <c r="C178" s="1" t="n">
        <v>45660</v>
      </c>
      <c r="D178" t="inlineStr">
        <is>
          <t>VÄSTRA GÖTALANDS LÄN</t>
        </is>
      </c>
      <c r="E178" t="inlineStr">
        <is>
          <t>HERRLJUNGA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67551-2021</t>
        </is>
      </c>
      <c r="B179" s="1" t="n">
        <v>44524</v>
      </c>
      <c r="C179" s="1" t="n">
        <v>45660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67782-2021</t>
        </is>
      </c>
      <c r="B180" s="1" t="n">
        <v>44525</v>
      </c>
      <c r="C180" s="1" t="n">
        <v>45660</v>
      </c>
      <c r="D180" t="inlineStr">
        <is>
          <t>VÄSTRA GÖTALANDS LÄN</t>
        </is>
      </c>
      <c r="E180" t="inlineStr">
        <is>
          <t>HERRLJUNGA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67926-2021</t>
        </is>
      </c>
      <c r="B181" s="1" t="n">
        <v>44525</v>
      </c>
      <c r="C181" s="1" t="n">
        <v>45660</v>
      </c>
      <c r="D181" t="inlineStr">
        <is>
          <t>VÄSTRA GÖTALANDS LÄN</t>
        </is>
      </c>
      <c r="E181" t="inlineStr">
        <is>
          <t>HERRLJUNGA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68549-2021</t>
        </is>
      </c>
      <c r="B182" s="1" t="n">
        <v>44529</v>
      </c>
      <c r="C182" s="1" t="n">
        <v>45660</v>
      </c>
      <c r="D182" t="inlineStr">
        <is>
          <t>VÄSTRA GÖTALANDS LÄN</t>
        </is>
      </c>
      <c r="E182" t="inlineStr">
        <is>
          <t>HERRLJUNGA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70103-2021</t>
        </is>
      </c>
      <c r="B183" s="1" t="n">
        <v>44533</v>
      </c>
      <c r="C183" s="1" t="n">
        <v>45660</v>
      </c>
      <c r="D183" t="inlineStr">
        <is>
          <t>VÄSTRA GÖTALANDS LÄN</t>
        </is>
      </c>
      <c r="E183" t="inlineStr">
        <is>
          <t>HERRLJUNGA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69965-2021</t>
        </is>
      </c>
      <c r="B184" s="1" t="n">
        <v>44533</v>
      </c>
      <c r="C184" s="1" t="n">
        <v>45660</v>
      </c>
      <c r="D184" t="inlineStr">
        <is>
          <t>VÄSTRA GÖTALANDS LÄN</t>
        </is>
      </c>
      <c r="E184" t="inlineStr">
        <is>
          <t>HERRLJUNGA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69968-2021</t>
        </is>
      </c>
      <c r="B185" s="1" t="n">
        <v>44533</v>
      </c>
      <c r="C185" s="1" t="n">
        <v>45660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70980-2021</t>
        </is>
      </c>
      <c r="B186" s="1" t="n">
        <v>44538</v>
      </c>
      <c r="C186" s="1" t="n">
        <v>45660</v>
      </c>
      <c r="D186" t="inlineStr">
        <is>
          <t>VÄSTRA GÖTALANDS LÄN</t>
        </is>
      </c>
      <c r="E186" t="inlineStr">
        <is>
          <t>HERRLJUNGA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71801-2021</t>
        </is>
      </c>
      <c r="B187" s="1" t="n">
        <v>44543</v>
      </c>
      <c r="C187" s="1" t="n">
        <v>45660</v>
      </c>
      <c r="D187" t="inlineStr">
        <is>
          <t>VÄSTRA GÖTALANDS LÄN</t>
        </is>
      </c>
      <c r="E187" t="inlineStr">
        <is>
          <t>HERRLJUNGA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72388-2021</t>
        </is>
      </c>
      <c r="B188" s="1" t="n">
        <v>44545</v>
      </c>
      <c r="C188" s="1" t="n">
        <v>45660</v>
      </c>
      <c r="D188" t="inlineStr">
        <is>
          <t>VÄSTRA GÖTALANDS LÄN</t>
        </is>
      </c>
      <c r="E188" t="inlineStr">
        <is>
          <t>HERRLJUNGA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73358-2021</t>
        </is>
      </c>
      <c r="B189" s="1" t="n">
        <v>44551</v>
      </c>
      <c r="C189" s="1" t="n">
        <v>45660</v>
      </c>
      <c r="D189" t="inlineStr">
        <is>
          <t>VÄSTRA GÖTALANDS LÄN</t>
        </is>
      </c>
      <c r="E189" t="inlineStr">
        <is>
          <t>HERRLJUNGA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73735-2021</t>
        </is>
      </c>
      <c r="B190" s="1" t="n">
        <v>44552</v>
      </c>
      <c r="C190" s="1" t="n">
        <v>45660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175-2022</t>
        </is>
      </c>
      <c r="B191" s="1" t="n">
        <v>44564</v>
      </c>
      <c r="C191" s="1" t="n">
        <v>45660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177-2022</t>
        </is>
      </c>
      <c r="B192" s="1" t="n">
        <v>44564</v>
      </c>
      <c r="C192" s="1" t="n">
        <v>45660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513-2022</t>
        </is>
      </c>
      <c r="B193" s="1" t="n">
        <v>44566</v>
      </c>
      <c r="C193" s="1" t="n">
        <v>45660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1875-2022</t>
        </is>
      </c>
      <c r="B194" s="1" t="n">
        <v>44574</v>
      </c>
      <c r="C194" s="1" t="n">
        <v>45660</v>
      </c>
      <c r="D194" t="inlineStr">
        <is>
          <t>VÄSTRA GÖTALANDS LÄN</t>
        </is>
      </c>
      <c r="E194" t="inlineStr">
        <is>
          <t>HERRLJUNGA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2824-2022</t>
        </is>
      </c>
      <c r="B195" s="1" t="n">
        <v>44581</v>
      </c>
      <c r="C195" s="1" t="n">
        <v>45660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4948-2022</t>
        </is>
      </c>
      <c r="B196" s="1" t="n">
        <v>44593</v>
      </c>
      <c r="C196" s="1" t="n">
        <v>45660</v>
      </c>
      <c r="D196" t="inlineStr">
        <is>
          <t>VÄSTRA GÖTALANDS LÄN</t>
        </is>
      </c>
      <c r="E196" t="inlineStr">
        <is>
          <t>HERRLJUNGA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6604-2022</t>
        </is>
      </c>
      <c r="B197" s="1" t="n">
        <v>44601</v>
      </c>
      <c r="C197" s="1" t="n">
        <v>45660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7182-2022</t>
        </is>
      </c>
      <c r="B198" s="1" t="n">
        <v>44605</v>
      </c>
      <c r="C198" s="1" t="n">
        <v>45660</v>
      </c>
      <c r="D198" t="inlineStr">
        <is>
          <t>VÄSTRA GÖTALANDS LÄN</t>
        </is>
      </c>
      <c r="E198" t="inlineStr">
        <is>
          <t>HERRLJUNGA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7456-2022</t>
        </is>
      </c>
      <c r="B199" s="1" t="n">
        <v>44607</v>
      </c>
      <c r="C199" s="1" t="n">
        <v>45660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8028-2022</t>
        </is>
      </c>
      <c r="B200" s="1" t="n">
        <v>44608</v>
      </c>
      <c r="C200" s="1" t="n">
        <v>45660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12487-2022</t>
        </is>
      </c>
      <c r="B201" s="1" t="n">
        <v>44638</v>
      </c>
      <c r="C201" s="1" t="n">
        <v>45660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12488-2022</t>
        </is>
      </c>
      <c r="B202" s="1" t="n">
        <v>44638</v>
      </c>
      <c r="C202" s="1" t="n">
        <v>45660</v>
      </c>
      <c r="D202" t="inlineStr">
        <is>
          <t>VÄSTRA GÖTALANDS LÄN</t>
        </is>
      </c>
      <c r="E202" t="inlineStr">
        <is>
          <t>HERRLJUNGA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12866-2022</t>
        </is>
      </c>
      <c r="B203" s="1" t="n">
        <v>44642</v>
      </c>
      <c r="C203" s="1" t="n">
        <v>45660</v>
      </c>
      <c r="D203" t="inlineStr">
        <is>
          <t>VÄSTRA GÖTALANDS LÄN</t>
        </is>
      </c>
      <c r="E203" t="inlineStr">
        <is>
          <t>HERRLJUNGA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13200-2022</t>
        </is>
      </c>
      <c r="B204" s="1" t="n">
        <v>44644</v>
      </c>
      <c r="C204" s="1" t="n">
        <v>45660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15395-2022</t>
        </is>
      </c>
      <c r="B205" s="1" t="n">
        <v>44659</v>
      </c>
      <c r="C205" s="1" t="n">
        <v>45660</v>
      </c>
      <c r="D205" t="inlineStr">
        <is>
          <t>VÄSTRA GÖTALANDS LÄN</t>
        </is>
      </c>
      <c r="E205" t="inlineStr">
        <is>
          <t>HERRLJUNGA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15370-2022</t>
        </is>
      </c>
      <c r="B206" s="1" t="n">
        <v>44659</v>
      </c>
      <c r="C206" s="1" t="n">
        <v>45660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15392-2022</t>
        </is>
      </c>
      <c r="B207" s="1" t="n">
        <v>44659</v>
      </c>
      <c r="C207" s="1" t="n">
        <v>45660</v>
      </c>
      <c r="D207" t="inlineStr">
        <is>
          <t>VÄSTRA GÖTALANDS LÄN</t>
        </is>
      </c>
      <c r="E207" t="inlineStr">
        <is>
          <t>HERRLJUNGA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16120-2022</t>
        </is>
      </c>
      <c r="B208" s="1" t="n">
        <v>44665</v>
      </c>
      <c r="C208" s="1" t="n">
        <v>45660</v>
      </c>
      <c r="D208" t="inlineStr">
        <is>
          <t>VÄSTRA GÖTALANDS LÄN</t>
        </is>
      </c>
      <c r="E208" t="inlineStr">
        <is>
          <t>HERRLJUNGA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17508-2022</t>
        </is>
      </c>
      <c r="B209" s="1" t="n">
        <v>44679</v>
      </c>
      <c r="C209" s="1" t="n">
        <v>45660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18243-2022</t>
        </is>
      </c>
      <c r="B210" s="1" t="n">
        <v>44685</v>
      </c>
      <c r="C210" s="1" t="n">
        <v>45660</v>
      </c>
      <c r="D210" t="inlineStr">
        <is>
          <t>VÄSTRA GÖTALANDS LÄN</t>
        </is>
      </c>
      <c r="E210" t="inlineStr">
        <is>
          <t>HERRLJUNGA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18511-2022</t>
        </is>
      </c>
      <c r="B211" s="1" t="n">
        <v>44686</v>
      </c>
      <c r="C211" s="1" t="n">
        <v>45660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18508-2022</t>
        </is>
      </c>
      <c r="B212" s="1" t="n">
        <v>44686</v>
      </c>
      <c r="C212" s="1" t="n">
        <v>45660</v>
      </c>
      <c r="D212" t="inlineStr">
        <is>
          <t>VÄSTRA GÖTALANDS LÄN</t>
        </is>
      </c>
      <c r="E212" t="inlineStr">
        <is>
          <t>HERRLJUNGA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19056-2022</t>
        </is>
      </c>
      <c r="B213" s="1" t="n">
        <v>44691</v>
      </c>
      <c r="C213" s="1" t="n">
        <v>45660</v>
      </c>
      <c r="D213" t="inlineStr">
        <is>
          <t>VÄSTRA GÖTALANDS LÄN</t>
        </is>
      </c>
      <c r="E213" t="inlineStr">
        <is>
          <t>HERRLJUNGA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20646-2022</t>
        </is>
      </c>
      <c r="B214" s="1" t="n">
        <v>44700</v>
      </c>
      <c r="C214" s="1" t="n">
        <v>45660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21160-2022</t>
        </is>
      </c>
      <c r="B215" s="1" t="n">
        <v>44704</v>
      </c>
      <c r="C215" s="1" t="n">
        <v>45660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23101-2022</t>
        </is>
      </c>
      <c r="B216" s="1" t="n">
        <v>44719</v>
      </c>
      <c r="C216" s="1" t="n">
        <v>45660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23098-2022</t>
        </is>
      </c>
      <c r="B217" s="1" t="n">
        <v>44719</v>
      </c>
      <c r="C217" s="1" t="n">
        <v>45660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24050-2022</t>
        </is>
      </c>
      <c r="B218" s="1" t="n">
        <v>44724</v>
      </c>
      <c r="C218" s="1" t="n">
        <v>45660</v>
      </c>
      <c r="D218" t="inlineStr">
        <is>
          <t>VÄSTRA GÖTALANDS LÄN</t>
        </is>
      </c>
      <c r="E218" t="inlineStr">
        <is>
          <t>HERRLJUNGA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25758-2022</t>
        </is>
      </c>
      <c r="B219" s="1" t="n">
        <v>44733</v>
      </c>
      <c r="C219" s="1" t="n">
        <v>45660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26173-2022</t>
        </is>
      </c>
      <c r="B220" s="1" t="n">
        <v>44735</v>
      </c>
      <c r="C220" s="1" t="n">
        <v>45660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26814-2022</t>
        </is>
      </c>
      <c r="B221" s="1" t="n">
        <v>44740</v>
      </c>
      <c r="C221" s="1" t="n">
        <v>45660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26816-2022</t>
        </is>
      </c>
      <c r="B222" s="1" t="n">
        <v>44740</v>
      </c>
      <c r="C222" s="1" t="n">
        <v>45660</v>
      </c>
      <c r="D222" t="inlineStr">
        <is>
          <t>VÄSTRA GÖTALANDS LÄN</t>
        </is>
      </c>
      <c r="E222" t="inlineStr">
        <is>
          <t>HERRLJUNGA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27893-2022</t>
        </is>
      </c>
      <c r="B223" s="1" t="n">
        <v>44743</v>
      </c>
      <c r="C223" s="1" t="n">
        <v>45660</v>
      </c>
      <c r="D223" t="inlineStr">
        <is>
          <t>VÄSTRA GÖTALANDS LÄN</t>
        </is>
      </c>
      <c r="E223" t="inlineStr">
        <is>
          <t>HERRLJUNGA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27909-2022</t>
        </is>
      </c>
      <c r="B224" s="1" t="n">
        <v>44743</v>
      </c>
      <c r="C224" s="1" t="n">
        <v>45660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28550-2022</t>
        </is>
      </c>
      <c r="B225" s="1" t="n">
        <v>44748</v>
      </c>
      <c r="C225" s="1" t="n">
        <v>45660</v>
      </c>
      <c r="D225" t="inlineStr">
        <is>
          <t>VÄSTRA GÖTALANDS LÄN</t>
        </is>
      </c>
      <c r="E225" t="inlineStr">
        <is>
          <t>HERRLJUNGA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29672-2022</t>
        </is>
      </c>
      <c r="B226" s="1" t="n">
        <v>44754</v>
      </c>
      <c r="C226" s="1" t="n">
        <v>45660</v>
      </c>
      <c r="D226" t="inlineStr">
        <is>
          <t>VÄSTRA GÖTALANDS LÄN</t>
        </is>
      </c>
      <c r="E226" t="inlineStr">
        <is>
          <t>HERRLJUNGA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30159-2022</t>
        </is>
      </c>
      <c r="B227" s="1" t="n">
        <v>44757</v>
      </c>
      <c r="C227" s="1" t="n">
        <v>45660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31598-2022</t>
        </is>
      </c>
      <c r="B228" s="1" t="n">
        <v>44775</v>
      </c>
      <c r="C228" s="1" t="n">
        <v>45660</v>
      </c>
      <c r="D228" t="inlineStr">
        <is>
          <t>VÄSTRA GÖTALANDS LÄN</t>
        </is>
      </c>
      <c r="E228" t="inlineStr">
        <is>
          <t>HERRLJUNGA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32148-2022</t>
        </is>
      </c>
      <c r="B229" s="1" t="n">
        <v>44780</v>
      </c>
      <c r="C229" s="1" t="n">
        <v>45660</v>
      </c>
      <c r="D229" t="inlineStr">
        <is>
          <t>VÄSTRA GÖTALANDS LÄN</t>
        </is>
      </c>
      <c r="E229" t="inlineStr">
        <is>
          <t>HERRLJUNGA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33921-2022</t>
        </is>
      </c>
      <c r="B230" s="1" t="n">
        <v>44790</v>
      </c>
      <c r="C230" s="1" t="n">
        <v>45660</v>
      </c>
      <c r="D230" t="inlineStr">
        <is>
          <t>VÄSTRA GÖTALANDS LÄN</t>
        </is>
      </c>
      <c r="E230" t="inlineStr">
        <is>
          <t>HERRLJUNGA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33957-2022</t>
        </is>
      </c>
      <c r="B231" s="1" t="n">
        <v>44790</v>
      </c>
      <c r="C231" s="1" t="n">
        <v>45660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33963-2022</t>
        </is>
      </c>
      <c r="B232" s="1" t="n">
        <v>44790</v>
      </c>
      <c r="C232" s="1" t="n">
        <v>45660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37910-2022</t>
        </is>
      </c>
      <c r="B233" s="1" t="n">
        <v>44811</v>
      </c>
      <c r="C233" s="1" t="n">
        <v>45660</v>
      </c>
      <c r="D233" t="inlineStr">
        <is>
          <t>VÄSTRA GÖTALANDS LÄN</t>
        </is>
      </c>
      <c r="E233" t="inlineStr">
        <is>
          <t>HERRLJUNGA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39044-2022</t>
        </is>
      </c>
      <c r="B234" s="1" t="n">
        <v>44817</v>
      </c>
      <c r="C234" s="1" t="n">
        <v>45660</v>
      </c>
      <c r="D234" t="inlineStr">
        <is>
          <t>VÄSTRA GÖTALANDS LÄN</t>
        </is>
      </c>
      <c r="E234" t="inlineStr">
        <is>
          <t>HERRLJUNGA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39457-2022</t>
        </is>
      </c>
      <c r="B235" s="1" t="n">
        <v>44818</v>
      </c>
      <c r="C235" s="1" t="n">
        <v>45660</v>
      </c>
      <c r="D235" t="inlineStr">
        <is>
          <t>VÄSTRA GÖTALANDS LÄN</t>
        </is>
      </c>
      <c r="E235" t="inlineStr">
        <is>
          <t>HERRLJUNGA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42508-2022</t>
        </is>
      </c>
      <c r="B236" s="1" t="n">
        <v>44831</v>
      </c>
      <c r="C236" s="1" t="n">
        <v>45660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43222-2022</t>
        </is>
      </c>
      <c r="B237" s="1" t="n">
        <v>44834</v>
      </c>
      <c r="C237" s="1" t="n">
        <v>45660</v>
      </c>
      <c r="D237" t="inlineStr">
        <is>
          <t>VÄSTRA GÖTALANDS LÄN</t>
        </is>
      </c>
      <c r="E237" t="inlineStr">
        <is>
          <t>HERRLJUNGA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43273-2022</t>
        </is>
      </c>
      <c r="B238" s="1" t="n">
        <v>44834</v>
      </c>
      <c r="C238" s="1" t="n">
        <v>45660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43255-2022</t>
        </is>
      </c>
      <c r="B239" s="1" t="n">
        <v>44834</v>
      </c>
      <c r="C239" s="1" t="n">
        <v>45660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43934-2022</t>
        </is>
      </c>
      <c r="B240" s="1" t="n">
        <v>44838</v>
      </c>
      <c r="C240" s="1" t="n">
        <v>45660</v>
      </c>
      <c r="D240" t="inlineStr">
        <is>
          <t>VÄSTRA GÖTALANDS LÄN</t>
        </is>
      </c>
      <c r="E240" t="inlineStr">
        <is>
          <t>HERRLJUNGA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46128-2022</t>
        </is>
      </c>
      <c r="B241" s="1" t="n">
        <v>44847</v>
      </c>
      <c r="C241" s="1" t="n">
        <v>45660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46454-2022</t>
        </is>
      </c>
      <c r="B242" s="1" t="n">
        <v>44847</v>
      </c>
      <c r="C242" s="1" t="n">
        <v>45660</v>
      </c>
      <c r="D242" t="inlineStr">
        <is>
          <t>VÄSTRA GÖTALANDS LÄN</t>
        </is>
      </c>
      <c r="E242" t="inlineStr">
        <is>
          <t>HERRLJUNGA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46113-2022</t>
        </is>
      </c>
      <c r="B243" s="1" t="n">
        <v>44847</v>
      </c>
      <c r="C243" s="1" t="n">
        <v>45660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46292-2022</t>
        </is>
      </c>
      <c r="B244" s="1" t="n">
        <v>44847</v>
      </c>
      <c r="C244" s="1" t="n">
        <v>45660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15.4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48597-2022</t>
        </is>
      </c>
      <c r="B245" s="1" t="n">
        <v>44854</v>
      </c>
      <c r="C245" s="1" t="n">
        <v>45660</v>
      </c>
      <c r="D245" t="inlineStr">
        <is>
          <t>VÄSTRA GÖTALANDS LÄN</t>
        </is>
      </c>
      <c r="E245" t="inlineStr">
        <is>
          <t>HERRLJUNGA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48395-2022</t>
        </is>
      </c>
      <c r="B246" s="1" t="n">
        <v>44858</v>
      </c>
      <c r="C246" s="1" t="n">
        <v>45660</v>
      </c>
      <c r="D246" t="inlineStr">
        <is>
          <t>VÄSTRA GÖTALANDS LÄN</t>
        </is>
      </c>
      <c r="E246" t="inlineStr">
        <is>
          <t>HERRLJUNGA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49106-2022</t>
        </is>
      </c>
      <c r="B247" s="1" t="n">
        <v>44860</v>
      </c>
      <c r="C247" s="1" t="n">
        <v>45660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50045-2022</t>
        </is>
      </c>
      <c r="B248" s="1" t="n">
        <v>44865</v>
      </c>
      <c r="C248" s="1" t="n">
        <v>45660</v>
      </c>
      <c r="D248" t="inlineStr">
        <is>
          <t>VÄSTRA GÖTALANDS LÄN</t>
        </is>
      </c>
      <c r="E248" t="inlineStr">
        <is>
          <t>HERRLJUNGA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50955-2022</t>
        </is>
      </c>
      <c r="B249" s="1" t="n">
        <v>44866</v>
      </c>
      <c r="C249" s="1" t="n">
        <v>45660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50727-2022</t>
        </is>
      </c>
      <c r="B250" s="1" t="n">
        <v>44867</v>
      </c>
      <c r="C250" s="1" t="n">
        <v>45660</v>
      </c>
      <c r="D250" t="inlineStr">
        <is>
          <t>VÄSTRA GÖTALANDS LÄN</t>
        </is>
      </c>
      <c r="E250" t="inlineStr">
        <is>
          <t>HERRLJUNGA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51197-2022</t>
        </is>
      </c>
      <c r="B251" s="1" t="n">
        <v>44868</v>
      </c>
      <c r="C251" s="1" t="n">
        <v>45660</v>
      </c>
      <c r="D251" t="inlineStr">
        <is>
          <t>VÄSTRA GÖTALANDS LÄN</t>
        </is>
      </c>
      <c r="E251" t="inlineStr">
        <is>
          <t>HERRLJUNGA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53261-2022</t>
        </is>
      </c>
      <c r="B252" s="1" t="n">
        <v>44876</v>
      </c>
      <c r="C252" s="1" t="n">
        <v>45660</v>
      </c>
      <c r="D252" t="inlineStr">
        <is>
          <t>VÄSTRA GÖTALANDS LÄN</t>
        </is>
      </c>
      <c r="E252" t="inlineStr">
        <is>
          <t>HERRLJUNGA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45660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55450-2022</t>
        </is>
      </c>
      <c r="B254" s="1" t="n">
        <v>44887</v>
      </c>
      <c r="C254" s="1" t="n">
        <v>45660</v>
      </c>
      <c r="D254" t="inlineStr">
        <is>
          <t>VÄSTRA GÖTALANDS LÄN</t>
        </is>
      </c>
      <c r="E254" t="inlineStr">
        <is>
          <t>HERRLJUNGA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56355-2022</t>
        </is>
      </c>
      <c r="B255" s="1" t="n">
        <v>44890</v>
      </c>
      <c r="C255" s="1" t="n">
        <v>45660</v>
      </c>
      <c r="D255" t="inlineStr">
        <is>
          <t>VÄSTRA GÖTALANDS LÄN</t>
        </is>
      </c>
      <c r="E255" t="inlineStr">
        <is>
          <t>HERRLJUNGA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56357-2022</t>
        </is>
      </c>
      <c r="B256" s="1" t="n">
        <v>44890</v>
      </c>
      <c r="C256" s="1" t="n">
        <v>45660</v>
      </c>
      <c r="D256" t="inlineStr">
        <is>
          <t>VÄSTRA GÖTALANDS LÄN</t>
        </is>
      </c>
      <c r="E256" t="inlineStr">
        <is>
          <t>HERRLJUNGA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56500-2022</t>
        </is>
      </c>
      <c r="B257" s="1" t="n">
        <v>44893</v>
      </c>
      <c r="C257" s="1" t="n">
        <v>45660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58703-2022</t>
        </is>
      </c>
      <c r="B258" s="1" t="n">
        <v>44895</v>
      </c>
      <c r="C258" s="1" t="n">
        <v>45660</v>
      </c>
      <c r="D258" t="inlineStr">
        <is>
          <t>VÄSTRA GÖTALANDS LÄN</t>
        </is>
      </c>
      <c r="E258" t="inlineStr">
        <is>
          <t>HERRLJUNGA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57959-2022</t>
        </is>
      </c>
      <c r="B259" s="1" t="n">
        <v>44900</v>
      </c>
      <c r="C259" s="1" t="n">
        <v>45660</v>
      </c>
      <c r="D259" t="inlineStr">
        <is>
          <t>VÄSTRA GÖTALANDS LÄN</t>
        </is>
      </c>
      <c r="E259" t="inlineStr">
        <is>
          <t>HERRLJUNGA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45660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57963-2022</t>
        </is>
      </c>
      <c r="B261" s="1" t="n">
        <v>44900</v>
      </c>
      <c r="C261" s="1" t="n">
        <v>45660</v>
      </c>
      <c r="D261" t="inlineStr">
        <is>
          <t>VÄSTRA GÖTALANDS LÄN</t>
        </is>
      </c>
      <c r="E261" t="inlineStr">
        <is>
          <t>HERRLJUNGA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58322-2022</t>
        </is>
      </c>
      <c r="B262" s="1" t="n">
        <v>44901</v>
      </c>
      <c r="C262" s="1" t="n">
        <v>45660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60509-2022</t>
        </is>
      </c>
      <c r="B263" s="1" t="n">
        <v>44904</v>
      </c>
      <c r="C263" s="1" t="n">
        <v>45660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60583-2022</t>
        </is>
      </c>
      <c r="B264" s="1" t="n">
        <v>44904</v>
      </c>
      <c r="C264" s="1" t="n">
        <v>45660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9.800000000000001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59535-2022</t>
        </is>
      </c>
      <c r="B265" s="1" t="n">
        <v>44907</v>
      </c>
      <c r="C265" s="1" t="n">
        <v>45660</v>
      </c>
      <c r="D265" t="inlineStr">
        <is>
          <t>VÄSTRA GÖTALANDS LÄN</t>
        </is>
      </c>
      <c r="E265" t="inlineStr">
        <is>
          <t>HERRLJUNGA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60743-2022</t>
        </is>
      </c>
      <c r="B266" s="1" t="n">
        <v>44914</v>
      </c>
      <c r="C266" s="1" t="n">
        <v>45660</v>
      </c>
      <c r="D266" t="inlineStr">
        <is>
          <t>VÄSTRA GÖTALANDS LÄN</t>
        </is>
      </c>
      <c r="E266" t="inlineStr">
        <is>
          <t>HERRLJUNGA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61769-2022</t>
        </is>
      </c>
      <c r="B267" s="1" t="n">
        <v>44917</v>
      </c>
      <c r="C267" s="1" t="n">
        <v>45660</v>
      </c>
      <c r="D267" t="inlineStr">
        <is>
          <t>VÄSTRA GÖTALANDS LÄN</t>
        </is>
      </c>
      <c r="E267" t="inlineStr">
        <is>
          <t>HERRLJUNGA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61770-2022</t>
        </is>
      </c>
      <c r="B268" s="1" t="n">
        <v>44917</v>
      </c>
      <c r="C268" s="1" t="n">
        <v>45660</v>
      </c>
      <c r="D268" t="inlineStr">
        <is>
          <t>VÄSTRA GÖTALANDS LÄN</t>
        </is>
      </c>
      <c r="E268" t="inlineStr">
        <is>
          <t>HERRLJUNGA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61766-2022</t>
        </is>
      </c>
      <c r="B269" s="1" t="n">
        <v>44917</v>
      </c>
      <c r="C269" s="1" t="n">
        <v>45660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62015-2022</t>
        </is>
      </c>
      <c r="B270" s="1" t="n">
        <v>44918</v>
      </c>
      <c r="C270" s="1" t="n">
        <v>45660</v>
      </c>
      <c r="D270" t="inlineStr">
        <is>
          <t>VÄSTRA GÖTALANDS LÄN</t>
        </is>
      </c>
      <c r="E270" t="inlineStr">
        <is>
          <t>HERRLJUNGA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681-2023</t>
        </is>
      </c>
      <c r="B271" s="1" t="n">
        <v>44925</v>
      </c>
      <c r="C271" s="1" t="n">
        <v>45660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760-2023</t>
        </is>
      </c>
      <c r="B272" s="1" t="n">
        <v>44931</v>
      </c>
      <c r="C272" s="1" t="n">
        <v>45660</v>
      </c>
      <c r="D272" t="inlineStr">
        <is>
          <t>VÄSTRA GÖTALANDS LÄN</t>
        </is>
      </c>
      <c r="E272" t="inlineStr">
        <is>
          <t>HERRLJUNGA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2202-2023</t>
        </is>
      </c>
      <c r="B273" s="1" t="n">
        <v>44942</v>
      </c>
      <c r="C273" s="1" t="n">
        <v>45660</v>
      </c>
      <c r="D273" t="inlineStr">
        <is>
          <t>VÄSTRA GÖTALANDS LÄN</t>
        </is>
      </c>
      <c r="E273" t="inlineStr">
        <is>
          <t>HERRLJUNGA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2204-2023</t>
        </is>
      </c>
      <c r="B274" s="1" t="n">
        <v>44942</v>
      </c>
      <c r="C274" s="1" t="n">
        <v>45660</v>
      </c>
      <c r="D274" t="inlineStr">
        <is>
          <t>VÄSTRA GÖTALANDS LÄN</t>
        </is>
      </c>
      <c r="E274" t="inlineStr">
        <is>
          <t>HERRLJUNGA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3613-2023</t>
        </is>
      </c>
      <c r="B275" s="1" t="n">
        <v>44950</v>
      </c>
      <c r="C275" s="1" t="n">
        <v>45660</v>
      </c>
      <c r="D275" t="inlineStr">
        <is>
          <t>VÄSTRA GÖTALANDS LÄN</t>
        </is>
      </c>
      <c r="E275" t="inlineStr">
        <is>
          <t>HERRLJUNGA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3664-2023</t>
        </is>
      </c>
      <c r="B276" s="1" t="n">
        <v>44950</v>
      </c>
      <c r="C276" s="1" t="n">
        <v>45660</v>
      </c>
      <c r="D276" t="inlineStr">
        <is>
          <t>VÄSTRA GÖTALANDS LÄN</t>
        </is>
      </c>
      <c r="E276" t="inlineStr">
        <is>
          <t>HERRLJUNGA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4020-2023</t>
        </is>
      </c>
      <c r="B277" s="1" t="n">
        <v>44952</v>
      </c>
      <c r="C277" s="1" t="n">
        <v>45660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5002-2023</t>
        </is>
      </c>
      <c r="B278" s="1" t="n">
        <v>44958</v>
      </c>
      <c r="C278" s="1" t="n">
        <v>45660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5471-2023</t>
        </is>
      </c>
      <c r="B279" s="1" t="n">
        <v>44960</v>
      </c>
      <c r="C279" s="1" t="n">
        <v>45660</v>
      </c>
      <c r="D279" t="inlineStr">
        <is>
          <t>VÄSTRA GÖTALANDS LÄN</t>
        </is>
      </c>
      <c r="E279" t="inlineStr">
        <is>
          <t>HERRLJUNGA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6751-2023</t>
        </is>
      </c>
      <c r="B280" s="1" t="n">
        <v>44966</v>
      </c>
      <c r="C280" s="1" t="n">
        <v>45660</v>
      </c>
      <c r="D280" t="inlineStr">
        <is>
          <t>VÄSTRA GÖTALANDS LÄN</t>
        </is>
      </c>
      <c r="E280" t="inlineStr">
        <is>
          <t>HERRLJUNGA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</v>
      </c>
      <c r="C281" s="1" t="n">
        <v>45660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8685-2023</t>
        </is>
      </c>
      <c r="B282" s="1" t="n">
        <v>44978</v>
      </c>
      <c r="C282" s="1" t="n">
        <v>45660</v>
      </c>
      <c r="D282" t="inlineStr">
        <is>
          <t>VÄSTRA GÖTALANDS LÄN</t>
        </is>
      </c>
      <c r="E282" t="inlineStr">
        <is>
          <t>HERRLJUNGA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8704-2023</t>
        </is>
      </c>
      <c r="B283" s="1" t="n">
        <v>44978</v>
      </c>
      <c r="C283" s="1" t="n">
        <v>45660</v>
      </c>
      <c r="D283" t="inlineStr">
        <is>
          <t>VÄSTRA GÖTALANDS LÄN</t>
        </is>
      </c>
      <c r="E283" t="inlineStr">
        <is>
          <t>HERRLJUNGA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9131-2023</t>
        </is>
      </c>
      <c r="B284" s="1" t="n">
        <v>44980</v>
      </c>
      <c r="C284" s="1" t="n">
        <v>45660</v>
      </c>
      <c r="D284" t="inlineStr">
        <is>
          <t>VÄSTRA GÖTALANDS LÄN</t>
        </is>
      </c>
      <c r="E284" t="inlineStr">
        <is>
          <t>HERRLJUNGA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9834-2023</t>
        </is>
      </c>
      <c r="B285" s="1" t="n">
        <v>44984</v>
      </c>
      <c r="C285" s="1" t="n">
        <v>45660</v>
      </c>
      <c r="D285" t="inlineStr">
        <is>
          <t>VÄSTRA GÖTALANDS LÄN</t>
        </is>
      </c>
      <c r="E285" t="inlineStr">
        <is>
          <t>HERRLJUNGA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9717-2023</t>
        </is>
      </c>
      <c r="B286" s="1" t="n">
        <v>44984</v>
      </c>
      <c r="C286" s="1" t="n">
        <v>45660</v>
      </c>
      <c r="D286" t="inlineStr">
        <is>
          <t>VÄSTRA GÖTALANDS LÄN</t>
        </is>
      </c>
      <c r="E286" t="inlineStr">
        <is>
          <t>HERRLJUNGA</t>
        </is>
      </c>
      <c r="F286" t="inlineStr">
        <is>
          <t>Kyrkan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11881-2023</t>
        </is>
      </c>
      <c r="B287" s="1" t="n">
        <v>44995</v>
      </c>
      <c r="C287" s="1" t="n">
        <v>45660</v>
      </c>
      <c r="D287" t="inlineStr">
        <is>
          <t>VÄSTRA GÖTALANDS LÄN</t>
        </is>
      </c>
      <c r="E287" t="inlineStr">
        <is>
          <t>HERRLJUNGA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11879-2023</t>
        </is>
      </c>
      <c r="B288" s="1" t="n">
        <v>44995</v>
      </c>
      <c r="C288" s="1" t="n">
        <v>45660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13040-2023</t>
        </is>
      </c>
      <c r="B289" s="1" t="n">
        <v>45002</v>
      </c>
      <c r="C289" s="1" t="n">
        <v>45660</v>
      </c>
      <c r="D289" t="inlineStr">
        <is>
          <t>VÄSTRA GÖTALANDS LÄN</t>
        </is>
      </c>
      <c r="E289" t="inlineStr">
        <is>
          <t>HERRLJUNGA</t>
        </is>
      </c>
      <c r="F289" t="inlineStr">
        <is>
          <t>Sveaskog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13283-2023</t>
        </is>
      </c>
      <c r="B290" s="1" t="n">
        <v>45004</v>
      </c>
      <c r="C290" s="1" t="n">
        <v>45660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13298-2023</t>
        </is>
      </c>
      <c r="B291" s="1" t="n">
        <v>45005</v>
      </c>
      <c r="C291" s="1" t="n">
        <v>45660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13297-2023</t>
        </is>
      </c>
      <c r="B292" s="1" t="n">
        <v>45005</v>
      </c>
      <c r="C292" s="1" t="n">
        <v>45660</v>
      </c>
      <c r="D292" t="inlineStr">
        <is>
          <t>VÄSTRA GÖTALANDS LÄN</t>
        </is>
      </c>
      <c r="E292" t="inlineStr">
        <is>
          <t>HERRLJUNGA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13301-2023</t>
        </is>
      </c>
      <c r="B293" s="1" t="n">
        <v>45005</v>
      </c>
      <c r="C293" s="1" t="n">
        <v>45660</v>
      </c>
      <c r="D293" t="inlineStr">
        <is>
          <t>VÄSTRA GÖTALANDS LÄN</t>
        </is>
      </c>
      <c r="E293" t="inlineStr">
        <is>
          <t>HERRLJUNGA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13403-2023</t>
        </is>
      </c>
      <c r="B294" s="1" t="n">
        <v>45005</v>
      </c>
      <c r="C294" s="1" t="n">
        <v>45660</v>
      </c>
      <c r="D294" t="inlineStr">
        <is>
          <t>VÄSTRA GÖTALANDS LÄN</t>
        </is>
      </c>
      <c r="E294" t="inlineStr">
        <is>
          <t>HERRLJUNGA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13307-2023</t>
        </is>
      </c>
      <c r="B295" s="1" t="n">
        <v>45005</v>
      </c>
      <c r="C295" s="1" t="n">
        <v>45660</v>
      </c>
      <c r="D295" t="inlineStr">
        <is>
          <t>VÄSTRA GÖTALANDS LÄN</t>
        </is>
      </c>
      <c r="E295" t="inlineStr">
        <is>
          <t>HERRLJUNGA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13308-2023</t>
        </is>
      </c>
      <c r="B296" s="1" t="n">
        <v>45005</v>
      </c>
      <c r="C296" s="1" t="n">
        <v>45660</v>
      </c>
      <c r="D296" t="inlineStr">
        <is>
          <t>VÄSTRA GÖTALANDS LÄN</t>
        </is>
      </c>
      <c r="E296" t="inlineStr">
        <is>
          <t>HERRLJUNGA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14167-2023</t>
        </is>
      </c>
      <c r="B297" s="1" t="n">
        <v>45009</v>
      </c>
      <c r="C297" s="1" t="n">
        <v>45660</v>
      </c>
      <c r="D297" t="inlineStr">
        <is>
          <t>VÄSTRA GÖTALANDS LÄN</t>
        </is>
      </c>
      <c r="E297" t="inlineStr">
        <is>
          <t>HERRLJUNGA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14168-2023</t>
        </is>
      </c>
      <c r="B298" s="1" t="n">
        <v>45009</v>
      </c>
      <c r="C298" s="1" t="n">
        <v>45660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15086-2023</t>
        </is>
      </c>
      <c r="B299" s="1" t="n">
        <v>45016</v>
      </c>
      <c r="C299" s="1" t="n">
        <v>45660</v>
      </c>
      <c r="D299" t="inlineStr">
        <is>
          <t>VÄSTRA GÖTALANDS LÄN</t>
        </is>
      </c>
      <c r="E299" t="inlineStr">
        <is>
          <t>HERRLJUNGA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15192-2023</t>
        </is>
      </c>
      <c r="B300" s="1" t="n">
        <v>45016</v>
      </c>
      <c r="C300" s="1" t="n">
        <v>45660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15215-2023</t>
        </is>
      </c>
      <c r="B301" s="1" t="n">
        <v>45019</v>
      </c>
      <c r="C301" s="1" t="n">
        <v>45660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15645-2023</t>
        </is>
      </c>
      <c r="B302" s="1" t="n">
        <v>45021</v>
      </c>
      <c r="C302" s="1" t="n">
        <v>45660</v>
      </c>
      <c r="D302" t="inlineStr">
        <is>
          <t>VÄSTRA GÖTALANDS LÄN</t>
        </is>
      </c>
      <c r="E302" t="inlineStr">
        <is>
          <t>HERRLJUNGA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15800-2023</t>
        </is>
      </c>
      <c r="B303" s="1" t="n">
        <v>45021</v>
      </c>
      <c r="C303" s="1" t="n">
        <v>45660</v>
      </c>
      <c r="D303" t="inlineStr">
        <is>
          <t>VÄSTRA GÖTALANDS LÄN</t>
        </is>
      </c>
      <c r="E303" t="inlineStr">
        <is>
          <t>HERRLJUNGA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15801-2023</t>
        </is>
      </c>
      <c r="B304" s="1" t="n">
        <v>45021</v>
      </c>
      <c r="C304" s="1" t="n">
        <v>45660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15953-2023</t>
        </is>
      </c>
      <c r="B305" s="1" t="n">
        <v>45022</v>
      </c>
      <c r="C305" s="1" t="n">
        <v>45660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16019-2023</t>
        </is>
      </c>
      <c r="B306" s="1" t="n">
        <v>45026</v>
      </c>
      <c r="C306" s="1" t="n">
        <v>45660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16021-2023</t>
        </is>
      </c>
      <c r="B307" s="1" t="n">
        <v>45026</v>
      </c>
      <c r="C307" s="1" t="n">
        <v>45660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16605-2023</t>
        </is>
      </c>
      <c r="B308" s="1" t="n">
        <v>45030</v>
      </c>
      <c r="C308" s="1" t="n">
        <v>45660</v>
      </c>
      <c r="D308" t="inlineStr">
        <is>
          <t>VÄSTRA GÖTALANDS LÄN</t>
        </is>
      </c>
      <c r="E308" t="inlineStr">
        <is>
          <t>HERRLJUNGA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17933-2023</t>
        </is>
      </c>
      <c r="B309" s="1" t="n">
        <v>45040</v>
      </c>
      <c r="C309" s="1" t="n">
        <v>45660</v>
      </c>
      <c r="D309" t="inlineStr">
        <is>
          <t>VÄSTRA GÖTALANDS LÄN</t>
        </is>
      </c>
      <c r="E309" t="inlineStr">
        <is>
          <t>HERRLJUNGA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18871-2023</t>
        </is>
      </c>
      <c r="B310" s="1" t="n">
        <v>45044</v>
      </c>
      <c r="C310" s="1" t="n">
        <v>45660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Sveaskog</t>
        </is>
      </c>
      <c r="G310" t="n">
        <v>22.6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19802-2023</t>
        </is>
      </c>
      <c r="B311" s="1" t="n">
        <v>45051</v>
      </c>
      <c r="C311" s="1" t="n">
        <v>45660</v>
      </c>
      <c r="D311" t="inlineStr">
        <is>
          <t>VÄSTRA GÖTALANDS LÄN</t>
        </is>
      </c>
      <c r="E311" t="inlineStr">
        <is>
          <t>HERRLJUNGA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21875-2023</t>
        </is>
      </c>
      <c r="B312" s="1" t="n">
        <v>45068</v>
      </c>
      <c r="C312" s="1" t="n">
        <v>45660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22884-2023</t>
        </is>
      </c>
      <c r="B313" s="1" t="n">
        <v>45072</v>
      </c>
      <c r="C313" s="1" t="n">
        <v>45660</v>
      </c>
      <c r="D313" t="inlineStr">
        <is>
          <t>VÄSTRA GÖTALANDS LÄN</t>
        </is>
      </c>
      <c r="E313" t="inlineStr">
        <is>
          <t>HERRLJUNGA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45660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45660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23551-2023</t>
        </is>
      </c>
      <c r="B316" s="1" t="n">
        <v>45077</v>
      </c>
      <c r="C316" s="1" t="n">
        <v>45660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45660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45660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45660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45660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45660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45660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45660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45660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45660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45660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45660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45660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45660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45660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45660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45660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45660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45660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45660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45660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45660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45660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45660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45660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45660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45660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45660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45660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45660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45660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45660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45660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45660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45660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45660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45660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45660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45660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45660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45660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45660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45660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45660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45660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45660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45660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45660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45660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45660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45660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45660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45660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45660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45660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45660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45660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45660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45660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45660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45660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45660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45660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45660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45660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45660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45660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45660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45660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45660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45660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45660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45660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45660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45660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45660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45660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45660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45660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45660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45660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45660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45660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45660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45660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45660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45660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45660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45660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45660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45660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45660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45660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45660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45660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45660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45660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45660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45660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45660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45660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45660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45660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45660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45660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45660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45660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45660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45660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45660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45660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45660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45660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45660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45660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45660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45660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45660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45660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45660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45660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45660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45660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45660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45660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45660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45660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45660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45660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45660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45660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45660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45660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45660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45660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45660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45660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45660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45660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45660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45660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45660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45660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45660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45660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45660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45660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45660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45660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45660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45660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45660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45660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45660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45660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45660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45660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45660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45660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45660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45660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45660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45660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45660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45660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45660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45660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45660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45660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45660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45660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45660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45660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45660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45660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45660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45660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45660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45660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45660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45660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45660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45660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45660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45660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45660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45660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45660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45660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45660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45660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45660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45660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45660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45660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45660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45660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45660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45660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45660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45660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45660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45660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45660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45660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45660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45660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45660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45660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45660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45660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45660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45660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45660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45660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45660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45660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45660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45660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45660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45660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45660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45660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45660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45660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45660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45660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45660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45660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45660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45660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45660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45660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45660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45660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45660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45660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45660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45660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45660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45660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45660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45660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45660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45660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45660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45660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45660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45660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45660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45660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45660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45660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45660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45660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45660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45660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45660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45660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45660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45660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59580-2024</t>
        </is>
      </c>
      <c r="B577" s="1" t="n">
        <v>45638</v>
      </c>
      <c r="C577" s="1" t="n">
        <v>45660</v>
      </c>
      <c r="D577" t="inlineStr">
        <is>
          <t>VÄSTRA GÖTALANDS LÄN</t>
        </is>
      </c>
      <c r="E577" t="inlineStr">
        <is>
          <t>HERRLJUNGA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45660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59756-2024</t>
        </is>
      </c>
      <c r="B579" s="1" t="n">
        <v>45639</v>
      </c>
      <c r="C579" s="1" t="n">
        <v>45660</v>
      </c>
      <c r="D579" t="inlineStr">
        <is>
          <t>VÄSTRA GÖTALANDS LÄN</t>
        </is>
      </c>
      <c r="E579" t="inlineStr">
        <is>
          <t>HERRLJUNGA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45660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45660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45660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60554-2024</t>
        </is>
      </c>
      <c r="B583" s="1" t="n">
        <v>45643</v>
      </c>
      <c r="C583" s="1" t="n">
        <v>45660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2025-01-03T15:42:02Z</dcterms:created>
  <dcterms:modified xmlns:dcterms="http://purl.org/dc/terms/" xmlns:xsi="http://www.w3.org/2001/XMLSchema-instance" xsi:type="dcterms:W3CDTF">2025-01-03T15:42:02Z</dcterms:modified>
</cp:coreProperties>
</file>