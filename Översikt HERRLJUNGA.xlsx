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4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45791-2019</t>
        </is>
      </c>
      <c r="B2" s="1" t="n">
        <v>43717</v>
      </c>
      <c r="C2" s="1" t="n">
        <v>45275</v>
      </c>
      <c r="D2" t="inlineStr">
        <is>
          <t>VÄSTRA GÖTALANDS LÄN</t>
        </is>
      </c>
      <c r="E2" t="inlineStr">
        <is>
          <t>HERRLJUNGA</t>
        </is>
      </c>
      <c r="F2" t="inlineStr">
        <is>
          <t>Kommuner</t>
        </is>
      </c>
      <c r="G2" t="n">
        <v>3.1</v>
      </c>
      <c r="H2" t="n">
        <v>1</v>
      </c>
      <c r="I2" t="n">
        <v>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Fläcklungört
Strutbräken
Mindre vattensalamander</t>
        </is>
      </c>
      <c r="S2">
        <f>HYPERLINK("https://klasma.github.io/Logging_1466/artfynd/A 45791-2019 artfynd.xlsx", "A 45791-2019")</f>
        <v/>
      </c>
      <c r="T2">
        <f>HYPERLINK("https://klasma.github.io/Logging_1466/kartor/A 45791-2019 karta.png", "A 45791-2019")</f>
        <v/>
      </c>
      <c r="V2">
        <f>HYPERLINK("https://klasma.github.io/Logging_1466/klagomål/A 45791-2019 FSC-klagomål.docx", "A 45791-2019")</f>
        <v/>
      </c>
      <c r="W2">
        <f>HYPERLINK("https://klasma.github.io/Logging_1466/klagomålsmail/A 45791-2019 FSC-klagomål mail.docx", "A 45791-2019")</f>
        <v/>
      </c>
      <c r="X2">
        <f>HYPERLINK("https://klasma.github.io/Logging_1466/tillsyn/A 45791-2019 tillsynsbegäran.docx", "A 45791-2019")</f>
        <v/>
      </c>
      <c r="Y2">
        <f>HYPERLINK("https://klasma.github.io/Logging_1466/tillsynsmail/A 45791-2019 tillsynsbegäran mail.docx", "A 45791-2019")</f>
        <v/>
      </c>
    </row>
    <row r="3" ht="15" customHeight="1">
      <c r="A3" t="inlineStr">
        <is>
          <t>A 37409-2023</t>
        </is>
      </c>
      <c r="B3" s="1" t="n">
        <v>45156</v>
      </c>
      <c r="C3" s="1" t="n">
        <v>45275</v>
      </c>
      <c r="D3" t="inlineStr">
        <is>
          <t>VÄSTRA GÖTALANDS LÄN</t>
        </is>
      </c>
      <c r="E3" t="inlineStr">
        <is>
          <t>HERRLJUNGA</t>
        </is>
      </c>
      <c r="G3" t="n">
        <v>5.7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Fällmossa
Mandelriska</t>
        </is>
      </c>
      <c r="S3">
        <f>HYPERLINK("https://klasma.github.io/Logging_1466/artfynd/A 37409-2023 artfynd.xlsx", "A 37409-2023")</f>
        <v/>
      </c>
      <c r="T3">
        <f>HYPERLINK("https://klasma.github.io/Logging_1466/kartor/A 37409-2023 karta.png", "A 37409-2023")</f>
        <v/>
      </c>
      <c r="V3">
        <f>HYPERLINK("https://klasma.github.io/Logging_1466/klagomål/A 37409-2023 FSC-klagomål.docx", "A 37409-2023")</f>
        <v/>
      </c>
      <c r="W3">
        <f>HYPERLINK("https://klasma.github.io/Logging_1466/klagomålsmail/A 37409-2023 FSC-klagomål mail.docx", "A 37409-2023")</f>
        <v/>
      </c>
      <c r="X3">
        <f>HYPERLINK("https://klasma.github.io/Logging_1466/tillsyn/A 37409-2023 tillsynsbegäran.docx", "A 37409-2023")</f>
        <v/>
      </c>
      <c r="Y3">
        <f>HYPERLINK("https://klasma.github.io/Logging_1466/tillsynsmail/A 37409-2023 tillsynsbegäran mail.docx", "A 37409-2023")</f>
        <v/>
      </c>
    </row>
    <row r="4" ht="15" customHeight="1">
      <c r="A4" t="inlineStr">
        <is>
          <t>A 33897-2018</t>
        </is>
      </c>
      <c r="B4" s="1" t="n">
        <v>43314</v>
      </c>
      <c r="C4" s="1" t="n">
        <v>45275</v>
      </c>
      <c r="D4" t="inlineStr">
        <is>
          <t>VÄSTRA GÖTALANDS LÄN</t>
        </is>
      </c>
      <c r="E4" t="inlineStr">
        <is>
          <t>HERRLJUNGA</t>
        </is>
      </c>
      <c r="G4" t="n">
        <v>18.2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38367-2018</t>
        </is>
      </c>
      <c r="B5" s="1" t="n">
        <v>43339</v>
      </c>
      <c r="C5" s="1" t="n">
        <v>45275</v>
      </c>
      <c r="D5" t="inlineStr">
        <is>
          <t>VÄSTRA GÖTALANDS LÄN</t>
        </is>
      </c>
      <c r="E5" t="inlineStr">
        <is>
          <t>HERRLJUNGA</t>
        </is>
      </c>
      <c r="G5" t="n">
        <v>0.9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39100-2018</t>
        </is>
      </c>
      <c r="B6" s="1" t="n">
        <v>43340</v>
      </c>
      <c r="C6" s="1" t="n">
        <v>45275</v>
      </c>
      <c r="D6" t="inlineStr">
        <is>
          <t>VÄSTRA GÖTALANDS LÄN</t>
        </is>
      </c>
      <c r="E6" t="inlineStr">
        <is>
          <t>HERRLJUNGA</t>
        </is>
      </c>
      <c r="G6" t="n">
        <v>1.5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41175-2018</t>
        </is>
      </c>
      <c r="B7" s="1" t="n">
        <v>43346</v>
      </c>
      <c r="C7" s="1" t="n">
        <v>45275</v>
      </c>
      <c r="D7" t="inlineStr">
        <is>
          <t>VÄSTRA GÖTALANDS LÄN</t>
        </is>
      </c>
      <c r="E7" t="inlineStr">
        <is>
          <t>HERRLJUNGA</t>
        </is>
      </c>
      <c r="G7" t="n">
        <v>2.5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41162-2018</t>
        </is>
      </c>
      <c r="B8" s="1" t="n">
        <v>43346</v>
      </c>
      <c r="C8" s="1" t="n">
        <v>45275</v>
      </c>
      <c r="D8" t="inlineStr">
        <is>
          <t>VÄSTRA GÖTALANDS LÄN</t>
        </is>
      </c>
      <c r="E8" t="inlineStr">
        <is>
          <t>HERRLJUNGA</t>
        </is>
      </c>
      <c r="G8" t="n">
        <v>1.3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41057-2018</t>
        </is>
      </c>
      <c r="B9" s="1" t="n">
        <v>43346</v>
      </c>
      <c r="C9" s="1" t="n">
        <v>45275</v>
      </c>
      <c r="D9" t="inlineStr">
        <is>
          <t>VÄSTRA GÖTALANDS LÄN</t>
        </is>
      </c>
      <c r="E9" t="inlineStr">
        <is>
          <t>HERRLJUNGA</t>
        </is>
      </c>
      <c r="G9" t="n">
        <v>1.6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41525-2018</t>
        </is>
      </c>
      <c r="B10" s="1" t="n">
        <v>43349</v>
      </c>
      <c r="C10" s="1" t="n">
        <v>45275</v>
      </c>
      <c r="D10" t="inlineStr">
        <is>
          <t>VÄSTRA GÖTALANDS LÄN</t>
        </is>
      </c>
      <c r="E10" t="inlineStr">
        <is>
          <t>HERRLJUNGA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41314-2018</t>
        </is>
      </c>
      <c r="B11" s="1" t="n">
        <v>43349</v>
      </c>
      <c r="C11" s="1" t="n">
        <v>45275</v>
      </c>
      <c r="D11" t="inlineStr">
        <is>
          <t>VÄSTRA GÖTALANDS LÄN</t>
        </is>
      </c>
      <c r="E11" t="inlineStr">
        <is>
          <t>HERRLJUNGA</t>
        </is>
      </c>
      <c r="G11" t="n">
        <v>2.2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45263-2018</t>
        </is>
      </c>
      <c r="B12" s="1" t="n">
        <v>43363</v>
      </c>
      <c r="C12" s="1" t="n">
        <v>45275</v>
      </c>
      <c r="D12" t="inlineStr">
        <is>
          <t>VÄSTRA GÖTALANDS LÄN</t>
        </is>
      </c>
      <c r="E12" t="inlineStr">
        <is>
          <t>HERRLJUNGA</t>
        </is>
      </c>
      <c r="G12" t="n">
        <v>7.4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47187-2018</t>
        </is>
      </c>
      <c r="B13" s="1" t="n">
        <v>43369</v>
      </c>
      <c r="C13" s="1" t="n">
        <v>45275</v>
      </c>
      <c r="D13" t="inlineStr">
        <is>
          <t>VÄSTRA GÖTALANDS LÄN</t>
        </is>
      </c>
      <c r="E13" t="inlineStr">
        <is>
          <t>HERRLJUNGA</t>
        </is>
      </c>
      <c r="G13" t="n">
        <v>2.7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50101-2018</t>
        </is>
      </c>
      <c r="B14" s="1" t="n">
        <v>43378</v>
      </c>
      <c r="C14" s="1" t="n">
        <v>45275</v>
      </c>
      <c r="D14" t="inlineStr">
        <is>
          <t>VÄSTRA GÖTALANDS LÄN</t>
        </is>
      </c>
      <c r="E14" t="inlineStr">
        <is>
          <t>HERRLJUNGA</t>
        </is>
      </c>
      <c r="G14" t="n">
        <v>3.9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58880-2018</t>
        </is>
      </c>
      <c r="B15" s="1" t="n">
        <v>43402</v>
      </c>
      <c r="C15" s="1" t="n">
        <v>45275</v>
      </c>
      <c r="D15" t="inlineStr">
        <is>
          <t>VÄSTRA GÖTALANDS LÄN</t>
        </is>
      </c>
      <c r="E15" t="inlineStr">
        <is>
          <t>HERRLJUNGA</t>
        </is>
      </c>
      <c r="G15" t="n">
        <v>11.8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61846-2018</t>
        </is>
      </c>
      <c r="B16" s="1" t="n">
        <v>43425</v>
      </c>
      <c r="C16" s="1" t="n">
        <v>45275</v>
      </c>
      <c r="D16" t="inlineStr">
        <is>
          <t>VÄSTRA GÖTALANDS LÄN</t>
        </is>
      </c>
      <c r="E16" t="inlineStr">
        <is>
          <t>HERRLJUNGA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64368-2018</t>
        </is>
      </c>
      <c r="B17" s="1" t="n">
        <v>43430</v>
      </c>
      <c r="C17" s="1" t="n">
        <v>45275</v>
      </c>
      <c r="D17" t="inlineStr">
        <is>
          <t>VÄSTRA GÖTALANDS LÄN</t>
        </is>
      </c>
      <c r="E17" t="inlineStr">
        <is>
          <t>HERRLJUNGA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64532-2018</t>
        </is>
      </c>
      <c r="B18" s="1" t="n">
        <v>43431</v>
      </c>
      <c r="C18" s="1" t="n">
        <v>45275</v>
      </c>
      <c r="D18" t="inlineStr">
        <is>
          <t>VÄSTRA GÖTALANDS LÄN</t>
        </is>
      </c>
      <c r="E18" t="inlineStr">
        <is>
          <t>HERRLJUNGA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67011-2018</t>
        </is>
      </c>
      <c r="B19" s="1" t="n">
        <v>43438</v>
      </c>
      <c r="C19" s="1" t="n">
        <v>45275</v>
      </c>
      <c r="D19" t="inlineStr">
        <is>
          <t>VÄSTRA GÖTALANDS LÄN</t>
        </is>
      </c>
      <c r="E19" t="inlineStr">
        <is>
          <t>HERRLJUNGA</t>
        </is>
      </c>
      <c r="G19" t="n">
        <v>5.5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67350-2018</t>
        </is>
      </c>
      <c r="B20" s="1" t="n">
        <v>43439</v>
      </c>
      <c r="C20" s="1" t="n">
        <v>45275</v>
      </c>
      <c r="D20" t="inlineStr">
        <is>
          <t>VÄSTRA GÖTALANDS LÄN</t>
        </is>
      </c>
      <c r="E20" t="inlineStr">
        <is>
          <t>HERRLJUNGA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68973-2018</t>
        </is>
      </c>
      <c r="B21" s="1" t="n">
        <v>43445</v>
      </c>
      <c r="C21" s="1" t="n">
        <v>45275</v>
      </c>
      <c r="D21" t="inlineStr">
        <is>
          <t>VÄSTRA GÖTALANDS LÄN</t>
        </is>
      </c>
      <c r="E21" t="inlineStr">
        <is>
          <t>HERRLJUNGA</t>
        </is>
      </c>
      <c r="G21" t="n">
        <v>3.2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69307-2018</t>
        </is>
      </c>
      <c r="B22" s="1" t="n">
        <v>43446</v>
      </c>
      <c r="C22" s="1" t="n">
        <v>45275</v>
      </c>
      <c r="D22" t="inlineStr">
        <is>
          <t>VÄSTRA GÖTALANDS LÄN</t>
        </is>
      </c>
      <c r="E22" t="inlineStr">
        <is>
          <t>HERRLJUNGA</t>
        </is>
      </c>
      <c r="G22" t="n">
        <v>2.3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69374-2018</t>
        </is>
      </c>
      <c r="B23" s="1" t="n">
        <v>43446</v>
      </c>
      <c r="C23" s="1" t="n">
        <v>45275</v>
      </c>
      <c r="D23" t="inlineStr">
        <is>
          <t>VÄSTRA GÖTALANDS LÄN</t>
        </is>
      </c>
      <c r="E23" t="inlineStr">
        <is>
          <t>HERRLJUNGA</t>
        </is>
      </c>
      <c r="G23" t="n">
        <v>2.8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71582-2018</t>
        </is>
      </c>
      <c r="B24" s="1" t="n">
        <v>43454</v>
      </c>
      <c r="C24" s="1" t="n">
        <v>45275</v>
      </c>
      <c r="D24" t="inlineStr">
        <is>
          <t>VÄSTRA GÖTALANDS LÄN</t>
        </is>
      </c>
      <c r="E24" t="inlineStr">
        <is>
          <t>HERRLJUNGA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72430-2018</t>
        </is>
      </c>
      <c r="B25" s="1" t="n">
        <v>43461</v>
      </c>
      <c r="C25" s="1" t="n">
        <v>45275</v>
      </c>
      <c r="D25" t="inlineStr">
        <is>
          <t>VÄSTRA GÖTALANDS LÄN</t>
        </is>
      </c>
      <c r="E25" t="inlineStr">
        <is>
          <t>HERRLJUNGA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2609-2019</t>
        </is>
      </c>
      <c r="B26" s="1" t="n">
        <v>43477</v>
      </c>
      <c r="C26" s="1" t="n">
        <v>45275</v>
      </c>
      <c r="D26" t="inlineStr">
        <is>
          <t>VÄSTRA GÖTALANDS LÄN</t>
        </is>
      </c>
      <c r="E26" t="inlineStr">
        <is>
          <t>HERRLJUNGA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2615-2019</t>
        </is>
      </c>
      <c r="B27" s="1" t="n">
        <v>43477</v>
      </c>
      <c r="C27" s="1" t="n">
        <v>45275</v>
      </c>
      <c r="D27" t="inlineStr">
        <is>
          <t>VÄSTRA GÖTALANDS LÄN</t>
        </is>
      </c>
      <c r="E27" t="inlineStr">
        <is>
          <t>HERRLJUNGA</t>
        </is>
      </c>
      <c r="G27" t="n">
        <v>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5223-2019</t>
        </is>
      </c>
      <c r="B28" s="1" t="n">
        <v>43488</v>
      </c>
      <c r="C28" s="1" t="n">
        <v>45275</v>
      </c>
      <c r="D28" t="inlineStr">
        <is>
          <t>VÄSTRA GÖTALANDS LÄN</t>
        </is>
      </c>
      <c r="E28" t="inlineStr">
        <is>
          <t>HERRLJUNGA</t>
        </is>
      </c>
      <c r="G28" t="n">
        <v>5.7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5952-2019</t>
        </is>
      </c>
      <c r="B29" s="1" t="n">
        <v>43491</v>
      </c>
      <c r="C29" s="1" t="n">
        <v>45275</v>
      </c>
      <c r="D29" t="inlineStr">
        <is>
          <t>VÄSTRA GÖTALANDS LÄN</t>
        </is>
      </c>
      <c r="E29" t="inlineStr">
        <is>
          <t>HERRLJUNGA</t>
        </is>
      </c>
      <c r="G29" t="n">
        <v>0.3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7027-2019</t>
        </is>
      </c>
      <c r="B30" s="1" t="n">
        <v>43495</v>
      </c>
      <c r="C30" s="1" t="n">
        <v>45275</v>
      </c>
      <c r="D30" t="inlineStr">
        <is>
          <t>VÄSTRA GÖTALANDS LÄN</t>
        </is>
      </c>
      <c r="E30" t="inlineStr">
        <is>
          <t>HERRLJUNGA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6807-2019</t>
        </is>
      </c>
      <c r="B31" s="1" t="n">
        <v>43495</v>
      </c>
      <c r="C31" s="1" t="n">
        <v>45275</v>
      </c>
      <c r="D31" t="inlineStr">
        <is>
          <t>VÄSTRA GÖTALANDS LÄN</t>
        </is>
      </c>
      <c r="E31" t="inlineStr">
        <is>
          <t>HERRLJUNGA</t>
        </is>
      </c>
      <c r="G31" t="n">
        <v>3.4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8824-2019</t>
        </is>
      </c>
      <c r="B32" s="1" t="n">
        <v>43503</v>
      </c>
      <c r="C32" s="1" t="n">
        <v>45275</v>
      </c>
      <c r="D32" t="inlineStr">
        <is>
          <t>VÄSTRA GÖTALANDS LÄN</t>
        </is>
      </c>
      <c r="E32" t="inlineStr">
        <is>
          <t>HERRLJUNGA</t>
        </is>
      </c>
      <c r="G32" t="n">
        <v>3.1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9275-2019</t>
        </is>
      </c>
      <c r="B33" s="1" t="n">
        <v>43507</v>
      </c>
      <c r="C33" s="1" t="n">
        <v>45275</v>
      </c>
      <c r="D33" t="inlineStr">
        <is>
          <t>VÄSTRA GÖTALANDS LÄN</t>
        </is>
      </c>
      <c r="E33" t="inlineStr">
        <is>
          <t>HERRLJUNGA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9678-2019</t>
        </is>
      </c>
      <c r="B34" s="1" t="n">
        <v>43508</v>
      </c>
      <c r="C34" s="1" t="n">
        <v>45275</v>
      </c>
      <c r="D34" t="inlineStr">
        <is>
          <t>VÄSTRA GÖTALANDS LÄN</t>
        </is>
      </c>
      <c r="E34" t="inlineStr">
        <is>
          <t>HERRLJUNGA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9676-2019</t>
        </is>
      </c>
      <c r="B35" s="1" t="n">
        <v>43508</v>
      </c>
      <c r="C35" s="1" t="n">
        <v>45275</v>
      </c>
      <c r="D35" t="inlineStr">
        <is>
          <t>VÄSTRA GÖTALANDS LÄN</t>
        </is>
      </c>
      <c r="E35" t="inlineStr">
        <is>
          <t>HERRLJUNGA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10166-2019</t>
        </is>
      </c>
      <c r="B36" s="1" t="n">
        <v>43510</v>
      </c>
      <c r="C36" s="1" t="n">
        <v>45275</v>
      </c>
      <c r="D36" t="inlineStr">
        <is>
          <t>VÄSTRA GÖTALANDS LÄN</t>
        </is>
      </c>
      <c r="E36" t="inlineStr">
        <is>
          <t>HERRLJUNGA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11025-2019</t>
        </is>
      </c>
      <c r="B37" s="1" t="n">
        <v>43515</v>
      </c>
      <c r="C37" s="1" t="n">
        <v>45275</v>
      </c>
      <c r="D37" t="inlineStr">
        <is>
          <t>VÄSTRA GÖTALANDS LÄN</t>
        </is>
      </c>
      <c r="E37" t="inlineStr">
        <is>
          <t>HERRLJUNGA</t>
        </is>
      </c>
      <c r="F37" t="inlineStr">
        <is>
          <t>Sveaskog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11949-2019</t>
        </is>
      </c>
      <c r="B38" s="1" t="n">
        <v>43521</v>
      </c>
      <c r="C38" s="1" t="n">
        <v>45275</v>
      </c>
      <c r="D38" t="inlineStr">
        <is>
          <t>VÄSTRA GÖTALANDS LÄN</t>
        </is>
      </c>
      <c r="E38" t="inlineStr">
        <is>
          <t>HERRLJUNGA</t>
        </is>
      </c>
      <c r="G38" t="n">
        <v>3.7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12189-2019</t>
        </is>
      </c>
      <c r="B39" s="1" t="n">
        <v>43522</v>
      </c>
      <c r="C39" s="1" t="n">
        <v>45275</v>
      </c>
      <c r="D39" t="inlineStr">
        <is>
          <t>VÄSTRA GÖTALANDS LÄN</t>
        </is>
      </c>
      <c r="E39" t="inlineStr">
        <is>
          <t>HERRLJUNGA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13344-2019</t>
        </is>
      </c>
      <c r="B40" s="1" t="n">
        <v>43529</v>
      </c>
      <c r="C40" s="1" t="n">
        <v>45275</v>
      </c>
      <c r="D40" t="inlineStr">
        <is>
          <t>VÄSTRA GÖTALANDS LÄN</t>
        </is>
      </c>
      <c r="E40" t="inlineStr">
        <is>
          <t>HERRLJUNGA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13332-2019</t>
        </is>
      </c>
      <c r="B41" s="1" t="n">
        <v>43529</v>
      </c>
      <c r="C41" s="1" t="n">
        <v>45275</v>
      </c>
      <c r="D41" t="inlineStr">
        <is>
          <t>VÄSTRA GÖTALANDS LÄN</t>
        </is>
      </c>
      <c r="E41" t="inlineStr">
        <is>
          <t>HERRLJUNGA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21021-2019</t>
        </is>
      </c>
      <c r="B42" s="1" t="n">
        <v>43578</v>
      </c>
      <c r="C42" s="1" t="n">
        <v>45275</v>
      </c>
      <c r="D42" t="inlineStr">
        <is>
          <t>VÄSTRA GÖTALANDS LÄN</t>
        </is>
      </c>
      <c r="E42" t="inlineStr">
        <is>
          <t>HERRLJUNGA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21673-2019</t>
        </is>
      </c>
      <c r="B43" s="1" t="n">
        <v>43581</v>
      </c>
      <c r="C43" s="1" t="n">
        <v>45275</v>
      </c>
      <c r="D43" t="inlineStr">
        <is>
          <t>VÄSTRA GÖTALANDS LÄN</t>
        </is>
      </c>
      <c r="E43" t="inlineStr">
        <is>
          <t>HERRLJUNGA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22956-2019</t>
        </is>
      </c>
      <c r="B44" s="1" t="n">
        <v>43591</v>
      </c>
      <c r="C44" s="1" t="n">
        <v>45275</v>
      </c>
      <c r="D44" t="inlineStr">
        <is>
          <t>VÄSTRA GÖTALANDS LÄN</t>
        </is>
      </c>
      <c r="E44" t="inlineStr">
        <is>
          <t>HERRLJUNGA</t>
        </is>
      </c>
      <c r="G44" t="n">
        <v>3.8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23320-2019</t>
        </is>
      </c>
      <c r="B45" s="1" t="n">
        <v>43593</v>
      </c>
      <c r="C45" s="1" t="n">
        <v>45275</v>
      </c>
      <c r="D45" t="inlineStr">
        <is>
          <t>VÄSTRA GÖTALANDS LÄN</t>
        </is>
      </c>
      <c r="E45" t="inlineStr">
        <is>
          <t>HERRLJUNGA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23955-2019</t>
        </is>
      </c>
      <c r="B46" s="1" t="n">
        <v>43597</v>
      </c>
      <c r="C46" s="1" t="n">
        <v>45275</v>
      </c>
      <c r="D46" t="inlineStr">
        <is>
          <t>VÄSTRA GÖTALANDS LÄN</t>
        </is>
      </c>
      <c r="E46" t="inlineStr">
        <is>
          <t>HERRLJUNGA</t>
        </is>
      </c>
      <c r="G46" t="n">
        <v>16.6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27299-2019</t>
        </is>
      </c>
      <c r="B47" s="1" t="n">
        <v>43616</v>
      </c>
      <c r="C47" s="1" t="n">
        <v>45275</v>
      </c>
      <c r="D47" t="inlineStr">
        <is>
          <t>VÄSTRA GÖTALANDS LÄN</t>
        </is>
      </c>
      <c r="E47" t="inlineStr">
        <is>
          <t>HERRLJUNGA</t>
        </is>
      </c>
      <c r="G47" t="n">
        <v>4.1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33174-2019</t>
        </is>
      </c>
      <c r="B48" s="1" t="n">
        <v>43649</v>
      </c>
      <c r="C48" s="1" t="n">
        <v>45275</v>
      </c>
      <c r="D48" t="inlineStr">
        <is>
          <t>VÄSTRA GÖTALANDS LÄN</t>
        </is>
      </c>
      <c r="E48" t="inlineStr">
        <is>
          <t>HERRLJUNGA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33171-2019</t>
        </is>
      </c>
      <c r="B49" s="1" t="n">
        <v>43649</v>
      </c>
      <c r="C49" s="1" t="n">
        <v>45275</v>
      </c>
      <c r="D49" t="inlineStr">
        <is>
          <t>VÄSTRA GÖTALANDS LÄN</t>
        </is>
      </c>
      <c r="E49" t="inlineStr">
        <is>
          <t>HERRLJUNGA</t>
        </is>
      </c>
      <c r="F49" t="inlineStr">
        <is>
          <t>Kyrkan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33175-2019</t>
        </is>
      </c>
      <c r="B50" s="1" t="n">
        <v>43649</v>
      </c>
      <c r="C50" s="1" t="n">
        <v>45275</v>
      </c>
      <c r="D50" t="inlineStr">
        <is>
          <t>VÄSTRA GÖTALANDS LÄN</t>
        </is>
      </c>
      <c r="E50" t="inlineStr">
        <is>
          <t>HERRLJUNGA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34832-2019</t>
        </is>
      </c>
      <c r="B51" s="1" t="n">
        <v>43658</v>
      </c>
      <c r="C51" s="1" t="n">
        <v>45275</v>
      </c>
      <c r="D51" t="inlineStr">
        <is>
          <t>VÄSTRA GÖTALANDS LÄN</t>
        </is>
      </c>
      <c r="E51" t="inlineStr">
        <is>
          <t>HERRLJUNGA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36191-2019</t>
        </is>
      </c>
      <c r="B52" s="1" t="n">
        <v>43669</v>
      </c>
      <c r="C52" s="1" t="n">
        <v>45275</v>
      </c>
      <c r="D52" t="inlineStr">
        <is>
          <t>VÄSTRA GÖTALANDS LÄN</t>
        </is>
      </c>
      <c r="E52" t="inlineStr">
        <is>
          <t>HERRLJUNGA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36790-2019</t>
        </is>
      </c>
      <c r="B53" s="1" t="n">
        <v>43672</v>
      </c>
      <c r="C53" s="1" t="n">
        <v>45275</v>
      </c>
      <c r="D53" t="inlineStr">
        <is>
          <t>VÄSTRA GÖTALANDS LÄN</t>
        </is>
      </c>
      <c r="E53" t="inlineStr">
        <is>
          <t>HERRLJUNGA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40602-2019</t>
        </is>
      </c>
      <c r="B54" s="1" t="n">
        <v>43696</v>
      </c>
      <c r="C54" s="1" t="n">
        <v>45275</v>
      </c>
      <c r="D54" t="inlineStr">
        <is>
          <t>VÄSTRA GÖTALANDS LÄN</t>
        </is>
      </c>
      <c r="E54" t="inlineStr">
        <is>
          <t>HERRLJUNGA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40939-2019</t>
        </is>
      </c>
      <c r="B55" s="1" t="n">
        <v>43697</v>
      </c>
      <c r="C55" s="1" t="n">
        <v>45275</v>
      </c>
      <c r="D55" t="inlineStr">
        <is>
          <t>VÄSTRA GÖTALANDS LÄN</t>
        </is>
      </c>
      <c r="E55" t="inlineStr">
        <is>
          <t>HERRLJUNGA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41394-2019</t>
        </is>
      </c>
      <c r="B56" s="1" t="n">
        <v>43698</v>
      </c>
      <c r="C56" s="1" t="n">
        <v>45275</v>
      </c>
      <c r="D56" t="inlineStr">
        <is>
          <t>VÄSTRA GÖTALANDS LÄN</t>
        </is>
      </c>
      <c r="E56" t="inlineStr">
        <is>
          <t>HERRLJUNGA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57784-2019</t>
        </is>
      </c>
      <c r="B57" s="1" t="n">
        <v>43698</v>
      </c>
      <c r="C57" s="1" t="n">
        <v>45275</v>
      </c>
      <c r="D57" t="inlineStr">
        <is>
          <t>VÄSTRA GÖTALANDS LÄN</t>
        </is>
      </c>
      <c r="E57" t="inlineStr">
        <is>
          <t>HERRLJUNGA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41565-2019</t>
        </is>
      </c>
      <c r="B58" s="1" t="n">
        <v>43699</v>
      </c>
      <c r="C58" s="1" t="n">
        <v>45275</v>
      </c>
      <c r="D58" t="inlineStr">
        <is>
          <t>VÄSTRA GÖTALANDS LÄN</t>
        </is>
      </c>
      <c r="E58" t="inlineStr">
        <is>
          <t>HERRLJUNGA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41560-2019</t>
        </is>
      </c>
      <c r="B59" s="1" t="n">
        <v>43699</v>
      </c>
      <c r="C59" s="1" t="n">
        <v>45275</v>
      </c>
      <c r="D59" t="inlineStr">
        <is>
          <t>VÄSTRA GÖTALANDS LÄN</t>
        </is>
      </c>
      <c r="E59" t="inlineStr">
        <is>
          <t>HERRLJUNGA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43004-2019</t>
        </is>
      </c>
      <c r="B60" s="1" t="n">
        <v>43700</v>
      </c>
      <c r="C60" s="1" t="n">
        <v>45275</v>
      </c>
      <c r="D60" t="inlineStr">
        <is>
          <t>VÄSTRA GÖTALANDS LÄN</t>
        </is>
      </c>
      <c r="E60" t="inlineStr">
        <is>
          <t>HERRLJUNGA</t>
        </is>
      </c>
      <c r="G60" t="n">
        <v>5.9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43362-2019</t>
        </is>
      </c>
      <c r="B61" s="1" t="n">
        <v>43706</v>
      </c>
      <c r="C61" s="1" t="n">
        <v>45275</v>
      </c>
      <c r="D61" t="inlineStr">
        <is>
          <t>VÄSTRA GÖTALANDS LÄN</t>
        </is>
      </c>
      <c r="E61" t="inlineStr">
        <is>
          <t>HERRLJUNGA</t>
        </is>
      </c>
      <c r="G61" t="n">
        <v>7.5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45410-2019</t>
        </is>
      </c>
      <c r="B62" s="1" t="n">
        <v>43714</v>
      </c>
      <c r="C62" s="1" t="n">
        <v>45275</v>
      </c>
      <c r="D62" t="inlineStr">
        <is>
          <t>VÄSTRA GÖTALANDS LÄN</t>
        </is>
      </c>
      <c r="E62" t="inlineStr">
        <is>
          <t>HERRLJUNGA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46814-2019</t>
        </is>
      </c>
      <c r="B63" s="1" t="n">
        <v>43718</v>
      </c>
      <c r="C63" s="1" t="n">
        <v>45275</v>
      </c>
      <c r="D63" t="inlineStr">
        <is>
          <t>VÄSTRA GÖTALANDS LÄN</t>
        </is>
      </c>
      <c r="E63" t="inlineStr">
        <is>
          <t>HERRLJUNGA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46821-2019</t>
        </is>
      </c>
      <c r="B64" s="1" t="n">
        <v>43718</v>
      </c>
      <c r="C64" s="1" t="n">
        <v>45275</v>
      </c>
      <c r="D64" t="inlineStr">
        <is>
          <t>VÄSTRA GÖTALANDS LÄN</t>
        </is>
      </c>
      <c r="E64" t="inlineStr">
        <is>
          <t>HERRLJUNGA</t>
        </is>
      </c>
      <c r="G64" t="n">
        <v>3.7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46180-2019</t>
        </is>
      </c>
      <c r="B65" s="1" t="n">
        <v>43718</v>
      </c>
      <c r="C65" s="1" t="n">
        <v>45275</v>
      </c>
      <c r="D65" t="inlineStr">
        <is>
          <t>VÄSTRA GÖTALANDS LÄN</t>
        </is>
      </c>
      <c r="E65" t="inlineStr">
        <is>
          <t>HERRLJUNGA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46501-2019</t>
        </is>
      </c>
      <c r="B66" s="1" t="n">
        <v>43719</v>
      </c>
      <c r="C66" s="1" t="n">
        <v>45275</v>
      </c>
      <c r="D66" t="inlineStr">
        <is>
          <t>VÄSTRA GÖTALANDS LÄN</t>
        </is>
      </c>
      <c r="E66" t="inlineStr">
        <is>
          <t>HERRLJUNGA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46564-2019</t>
        </is>
      </c>
      <c r="B67" s="1" t="n">
        <v>43719</v>
      </c>
      <c r="C67" s="1" t="n">
        <v>45275</v>
      </c>
      <c r="D67" t="inlineStr">
        <is>
          <t>VÄSTRA GÖTALANDS LÄN</t>
        </is>
      </c>
      <c r="E67" t="inlineStr">
        <is>
          <t>HERRLJUNGA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46495-2019</t>
        </is>
      </c>
      <c r="B68" s="1" t="n">
        <v>43719</v>
      </c>
      <c r="C68" s="1" t="n">
        <v>45275</v>
      </c>
      <c r="D68" t="inlineStr">
        <is>
          <t>VÄSTRA GÖTALANDS LÄN</t>
        </is>
      </c>
      <c r="E68" t="inlineStr">
        <is>
          <t>HERRLJUNGA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47594-2019</t>
        </is>
      </c>
      <c r="B69" s="1" t="n">
        <v>43724</v>
      </c>
      <c r="C69" s="1" t="n">
        <v>45275</v>
      </c>
      <c r="D69" t="inlineStr">
        <is>
          <t>VÄSTRA GÖTALANDS LÄN</t>
        </is>
      </c>
      <c r="E69" t="inlineStr">
        <is>
          <t>HERRLJUNGA</t>
        </is>
      </c>
      <c r="F69" t="inlineStr">
        <is>
          <t>Kyrkan</t>
        </is>
      </c>
      <c r="G69" t="n">
        <v>4.1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48735-2019</t>
        </is>
      </c>
      <c r="B70" s="1" t="n">
        <v>43727</v>
      </c>
      <c r="C70" s="1" t="n">
        <v>45275</v>
      </c>
      <c r="D70" t="inlineStr">
        <is>
          <t>VÄSTRA GÖTALANDS LÄN</t>
        </is>
      </c>
      <c r="E70" t="inlineStr">
        <is>
          <t>HERRLJUNGA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50111-2019</t>
        </is>
      </c>
      <c r="B71" s="1" t="n">
        <v>43734</v>
      </c>
      <c r="C71" s="1" t="n">
        <v>45275</v>
      </c>
      <c r="D71" t="inlineStr">
        <is>
          <t>VÄSTRA GÖTALANDS LÄN</t>
        </is>
      </c>
      <c r="E71" t="inlineStr">
        <is>
          <t>HERRLJUNGA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50078-2019</t>
        </is>
      </c>
      <c r="B72" s="1" t="n">
        <v>43734</v>
      </c>
      <c r="C72" s="1" t="n">
        <v>45275</v>
      </c>
      <c r="D72" t="inlineStr">
        <is>
          <t>VÄSTRA GÖTALANDS LÄN</t>
        </is>
      </c>
      <c r="E72" t="inlineStr">
        <is>
          <t>HERRLJUNGA</t>
        </is>
      </c>
      <c r="F72" t="inlineStr">
        <is>
          <t>Kyrkan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56752-2019</t>
        </is>
      </c>
      <c r="B73" s="1" t="n">
        <v>43763</v>
      </c>
      <c r="C73" s="1" t="n">
        <v>45275</v>
      </c>
      <c r="D73" t="inlineStr">
        <is>
          <t>VÄSTRA GÖTALANDS LÄN</t>
        </is>
      </c>
      <c r="E73" t="inlineStr">
        <is>
          <t>HERRLJUNGA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56755-2019</t>
        </is>
      </c>
      <c r="B74" s="1" t="n">
        <v>43763</v>
      </c>
      <c r="C74" s="1" t="n">
        <v>45275</v>
      </c>
      <c r="D74" t="inlineStr">
        <is>
          <t>VÄSTRA GÖTALANDS LÄN</t>
        </is>
      </c>
      <c r="E74" t="inlineStr">
        <is>
          <t>HERRLJUNGA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58045-2019</t>
        </is>
      </c>
      <c r="B75" s="1" t="n">
        <v>43769</v>
      </c>
      <c r="C75" s="1" t="n">
        <v>45275</v>
      </c>
      <c r="D75" t="inlineStr">
        <is>
          <t>VÄSTRA GÖTALANDS LÄN</t>
        </is>
      </c>
      <c r="E75" t="inlineStr">
        <is>
          <t>HERRLJUNGA</t>
        </is>
      </c>
      <c r="G75" t="n">
        <v>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58048-2019</t>
        </is>
      </c>
      <c r="B76" s="1" t="n">
        <v>43769</v>
      </c>
      <c r="C76" s="1" t="n">
        <v>45275</v>
      </c>
      <c r="D76" t="inlineStr">
        <is>
          <t>VÄSTRA GÖTALANDS LÄN</t>
        </is>
      </c>
      <c r="E76" t="inlineStr">
        <is>
          <t>HERRLJUNGA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60801-2019</t>
        </is>
      </c>
      <c r="B77" s="1" t="n">
        <v>43781</v>
      </c>
      <c r="C77" s="1" t="n">
        <v>45275</v>
      </c>
      <c r="D77" t="inlineStr">
        <is>
          <t>VÄSTRA GÖTALANDS LÄN</t>
        </is>
      </c>
      <c r="E77" t="inlineStr">
        <is>
          <t>HERRLJUNGA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66018-2019</t>
        </is>
      </c>
      <c r="B78" s="1" t="n">
        <v>43798</v>
      </c>
      <c r="C78" s="1" t="n">
        <v>45275</v>
      </c>
      <c r="D78" t="inlineStr">
        <is>
          <t>VÄSTRA GÖTALANDS LÄN</t>
        </is>
      </c>
      <c r="E78" t="inlineStr">
        <is>
          <t>HERRLJUNGA</t>
        </is>
      </c>
      <c r="G78" t="n">
        <v>22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64794-2019</t>
        </is>
      </c>
      <c r="B79" s="1" t="n">
        <v>43801</v>
      </c>
      <c r="C79" s="1" t="n">
        <v>45275</v>
      </c>
      <c r="D79" t="inlineStr">
        <is>
          <t>VÄSTRA GÖTALANDS LÄN</t>
        </is>
      </c>
      <c r="E79" t="inlineStr">
        <is>
          <t>HERRLJUNGA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68719-2019</t>
        </is>
      </c>
      <c r="B80" s="1" t="n">
        <v>43819</v>
      </c>
      <c r="C80" s="1" t="n">
        <v>45275</v>
      </c>
      <c r="D80" t="inlineStr">
        <is>
          <t>VÄSTRA GÖTALANDS LÄN</t>
        </is>
      </c>
      <c r="E80" t="inlineStr">
        <is>
          <t>HERRLJUNGA</t>
        </is>
      </c>
      <c r="G80" t="n">
        <v>4.1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86-2020</t>
        </is>
      </c>
      <c r="B81" s="1" t="n">
        <v>43832</v>
      </c>
      <c r="C81" s="1" t="n">
        <v>45275</v>
      </c>
      <c r="D81" t="inlineStr">
        <is>
          <t>VÄSTRA GÖTALANDS LÄN</t>
        </is>
      </c>
      <c r="E81" t="inlineStr">
        <is>
          <t>HERRLJUNGA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1593-2020</t>
        </is>
      </c>
      <c r="B82" s="1" t="n">
        <v>43844</v>
      </c>
      <c r="C82" s="1" t="n">
        <v>45275</v>
      </c>
      <c r="D82" t="inlineStr">
        <is>
          <t>VÄSTRA GÖTALANDS LÄN</t>
        </is>
      </c>
      <c r="E82" t="inlineStr">
        <is>
          <t>HERRLJUNGA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2081-2020</t>
        </is>
      </c>
      <c r="B83" s="1" t="n">
        <v>43845</v>
      </c>
      <c r="C83" s="1" t="n">
        <v>45275</v>
      </c>
      <c r="D83" t="inlineStr">
        <is>
          <t>VÄSTRA GÖTALANDS LÄN</t>
        </is>
      </c>
      <c r="E83" t="inlineStr">
        <is>
          <t>HERRLJUNGA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2079-2020</t>
        </is>
      </c>
      <c r="B84" s="1" t="n">
        <v>43845</v>
      </c>
      <c r="C84" s="1" t="n">
        <v>45275</v>
      </c>
      <c r="D84" t="inlineStr">
        <is>
          <t>VÄSTRA GÖTALANDS LÄN</t>
        </is>
      </c>
      <c r="E84" t="inlineStr">
        <is>
          <t>HERRLJUNGA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2451-2020</t>
        </is>
      </c>
      <c r="B85" s="1" t="n">
        <v>43847</v>
      </c>
      <c r="C85" s="1" t="n">
        <v>45275</v>
      </c>
      <c r="D85" t="inlineStr">
        <is>
          <t>VÄSTRA GÖTALANDS LÄN</t>
        </is>
      </c>
      <c r="E85" t="inlineStr">
        <is>
          <t>HERRLJUNGA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4913-2020</t>
        </is>
      </c>
      <c r="B86" s="1" t="n">
        <v>43852</v>
      </c>
      <c r="C86" s="1" t="n">
        <v>45275</v>
      </c>
      <c r="D86" t="inlineStr">
        <is>
          <t>VÄSTRA GÖTALANDS LÄN</t>
        </is>
      </c>
      <c r="E86" t="inlineStr">
        <is>
          <t>HERRLJUNGA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6047-2020</t>
        </is>
      </c>
      <c r="B87" s="1" t="n">
        <v>43865</v>
      </c>
      <c r="C87" s="1" t="n">
        <v>45275</v>
      </c>
      <c r="D87" t="inlineStr">
        <is>
          <t>VÄSTRA GÖTALANDS LÄN</t>
        </is>
      </c>
      <c r="E87" t="inlineStr">
        <is>
          <t>HERRLJUNGA</t>
        </is>
      </c>
      <c r="G87" t="n">
        <v>5.5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7465-2020</t>
        </is>
      </c>
      <c r="B88" s="1" t="n">
        <v>43871</v>
      </c>
      <c r="C88" s="1" t="n">
        <v>45275</v>
      </c>
      <c r="D88" t="inlineStr">
        <is>
          <t>VÄSTRA GÖTALANDS LÄN</t>
        </is>
      </c>
      <c r="E88" t="inlineStr">
        <is>
          <t>HERRLJUNGA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9182-2020</t>
        </is>
      </c>
      <c r="B89" s="1" t="n">
        <v>43879</v>
      </c>
      <c r="C89" s="1" t="n">
        <v>45275</v>
      </c>
      <c r="D89" t="inlineStr">
        <is>
          <t>VÄSTRA GÖTALANDS LÄN</t>
        </is>
      </c>
      <c r="E89" t="inlineStr">
        <is>
          <t>HERRLJUNGA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15242-2020</t>
        </is>
      </c>
      <c r="B90" s="1" t="n">
        <v>43913</v>
      </c>
      <c r="C90" s="1" t="n">
        <v>45275</v>
      </c>
      <c r="D90" t="inlineStr">
        <is>
          <t>VÄSTRA GÖTALANDS LÄN</t>
        </is>
      </c>
      <c r="E90" t="inlineStr">
        <is>
          <t>HERRLJUNGA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15842-2020</t>
        </is>
      </c>
      <c r="B91" s="1" t="n">
        <v>43915</v>
      </c>
      <c r="C91" s="1" t="n">
        <v>45275</v>
      </c>
      <c r="D91" t="inlineStr">
        <is>
          <t>VÄSTRA GÖTALANDS LÄN</t>
        </is>
      </c>
      <c r="E91" t="inlineStr">
        <is>
          <t>HERRLJUNGA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15900-2020</t>
        </is>
      </c>
      <c r="B92" s="1" t="n">
        <v>43916</v>
      </c>
      <c r="C92" s="1" t="n">
        <v>45275</v>
      </c>
      <c r="D92" t="inlineStr">
        <is>
          <t>VÄSTRA GÖTALANDS LÄN</t>
        </is>
      </c>
      <c r="E92" t="inlineStr">
        <is>
          <t>HERRLJUNGA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15999-2020</t>
        </is>
      </c>
      <c r="B93" s="1" t="n">
        <v>43916</v>
      </c>
      <c r="C93" s="1" t="n">
        <v>45275</v>
      </c>
      <c r="D93" t="inlineStr">
        <is>
          <t>VÄSTRA GÖTALANDS LÄN</t>
        </is>
      </c>
      <c r="E93" t="inlineStr">
        <is>
          <t>HERRLJUNGA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17356-2020</t>
        </is>
      </c>
      <c r="B94" s="1" t="n">
        <v>43916</v>
      </c>
      <c r="C94" s="1" t="n">
        <v>45275</v>
      </c>
      <c r="D94" t="inlineStr">
        <is>
          <t>VÄSTRA GÖTALANDS LÄN</t>
        </is>
      </c>
      <c r="E94" t="inlineStr">
        <is>
          <t>HERRLJUNGA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17266-2020</t>
        </is>
      </c>
      <c r="B95" s="1" t="n">
        <v>43916</v>
      </c>
      <c r="C95" s="1" t="n">
        <v>45275</v>
      </c>
      <c r="D95" t="inlineStr">
        <is>
          <t>VÄSTRA GÖTALANDS LÄN</t>
        </is>
      </c>
      <c r="E95" t="inlineStr">
        <is>
          <t>HERRLJUNGA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16409-2020</t>
        </is>
      </c>
      <c r="B96" s="1" t="n">
        <v>43918</v>
      </c>
      <c r="C96" s="1" t="n">
        <v>45275</v>
      </c>
      <c r="D96" t="inlineStr">
        <is>
          <t>VÄSTRA GÖTALANDS LÄN</t>
        </is>
      </c>
      <c r="E96" t="inlineStr">
        <is>
          <t>HERRLJUNGA</t>
        </is>
      </c>
      <c r="G96" t="n">
        <v>4.3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19259-2020</t>
        </is>
      </c>
      <c r="B97" s="1" t="n">
        <v>43937</v>
      </c>
      <c r="C97" s="1" t="n">
        <v>45275</v>
      </c>
      <c r="D97" t="inlineStr">
        <is>
          <t>VÄSTRA GÖTALANDS LÄN</t>
        </is>
      </c>
      <c r="E97" t="inlineStr">
        <is>
          <t>HERRLJUNGA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19248-2020</t>
        </is>
      </c>
      <c r="B98" s="1" t="n">
        <v>43937</v>
      </c>
      <c r="C98" s="1" t="n">
        <v>45275</v>
      </c>
      <c r="D98" t="inlineStr">
        <is>
          <t>VÄSTRA GÖTALANDS LÄN</t>
        </is>
      </c>
      <c r="E98" t="inlineStr">
        <is>
          <t>HERRLJUNGA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21069-2020</t>
        </is>
      </c>
      <c r="B99" s="1" t="n">
        <v>43951</v>
      </c>
      <c r="C99" s="1" t="n">
        <v>45275</v>
      </c>
      <c r="D99" t="inlineStr">
        <is>
          <t>VÄSTRA GÖTALANDS LÄN</t>
        </is>
      </c>
      <c r="E99" t="inlineStr">
        <is>
          <t>HERRLJUNGA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21394-2020</t>
        </is>
      </c>
      <c r="B100" s="1" t="n">
        <v>43955</v>
      </c>
      <c r="C100" s="1" t="n">
        <v>45275</v>
      </c>
      <c r="D100" t="inlineStr">
        <is>
          <t>VÄSTRA GÖTALANDS LÄN</t>
        </is>
      </c>
      <c r="E100" t="inlineStr">
        <is>
          <t>HERRLJUNGA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22026-2020</t>
        </is>
      </c>
      <c r="B101" s="1" t="n">
        <v>43959</v>
      </c>
      <c r="C101" s="1" t="n">
        <v>45275</v>
      </c>
      <c r="D101" t="inlineStr">
        <is>
          <t>VÄSTRA GÖTALANDS LÄN</t>
        </is>
      </c>
      <c r="E101" t="inlineStr">
        <is>
          <t>HERRLJUNGA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23534-2020</t>
        </is>
      </c>
      <c r="B102" s="1" t="n">
        <v>43969</v>
      </c>
      <c r="C102" s="1" t="n">
        <v>45275</v>
      </c>
      <c r="D102" t="inlineStr">
        <is>
          <t>VÄSTRA GÖTALANDS LÄN</t>
        </is>
      </c>
      <c r="E102" t="inlineStr">
        <is>
          <t>HERRLJUNGA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23629-2020</t>
        </is>
      </c>
      <c r="B103" s="1" t="n">
        <v>43969</v>
      </c>
      <c r="C103" s="1" t="n">
        <v>45275</v>
      </c>
      <c r="D103" t="inlineStr">
        <is>
          <t>VÄSTRA GÖTALANDS LÄN</t>
        </is>
      </c>
      <c r="E103" t="inlineStr">
        <is>
          <t>HERRLJUNGA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23965-2020</t>
        </is>
      </c>
      <c r="B104" s="1" t="n">
        <v>43971</v>
      </c>
      <c r="C104" s="1" t="n">
        <v>45275</v>
      </c>
      <c r="D104" t="inlineStr">
        <is>
          <t>VÄSTRA GÖTALANDS LÄN</t>
        </is>
      </c>
      <c r="E104" t="inlineStr">
        <is>
          <t>HERRLJUNGA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24786-2020</t>
        </is>
      </c>
      <c r="B105" s="1" t="n">
        <v>43978</v>
      </c>
      <c r="C105" s="1" t="n">
        <v>45275</v>
      </c>
      <c r="D105" t="inlineStr">
        <is>
          <t>VÄSTRA GÖTALANDS LÄN</t>
        </is>
      </c>
      <c r="E105" t="inlineStr">
        <is>
          <t>HERRLJUNGA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27022-2020</t>
        </is>
      </c>
      <c r="B106" s="1" t="n">
        <v>43991</v>
      </c>
      <c r="C106" s="1" t="n">
        <v>45275</v>
      </c>
      <c r="D106" t="inlineStr">
        <is>
          <t>VÄSTRA GÖTALANDS LÄN</t>
        </is>
      </c>
      <c r="E106" t="inlineStr">
        <is>
          <t>HERRLJUNGA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33481-2020</t>
        </is>
      </c>
      <c r="B107" s="1" t="n">
        <v>44024</v>
      </c>
      <c r="C107" s="1" t="n">
        <v>45275</v>
      </c>
      <c r="D107" t="inlineStr">
        <is>
          <t>VÄSTRA GÖTALANDS LÄN</t>
        </is>
      </c>
      <c r="E107" t="inlineStr">
        <is>
          <t>HERRLJUNGA</t>
        </is>
      </c>
      <c r="G107" t="n">
        <v>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35449-2020</t>
        </is>
      </c>
      <c r="B108" s="1" t="n">
        <v>44042</v>
      </c>
      <c r="C108" s="1" t="n">
        <v>45275</v>
      </c>
      <c r="D108" t="inlineStr">
        <is>
          <t>VÄSTRA GÖTALANDS LÄN</t>
        </is>
      </c>
      <c r="E108" t="inlineStr">
        <is>
          <t>HERRLJUNGA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37941-2020</t>
        </is>
      </c>
      <c r="B109" s="1" t="n">
        <v>44057</v>
      </c>
      <c r="C109" s="1" t="n">
        <v>45275</v>
      </c>
      <c r="D109" t="inlineStr">
        <is>
          <t>VÄSTRA GÖTALANDS LÄN</t>
        </is>
      </c>
      <c r="E109" t="inlineStr">
        <is>
          <t>HERRLJUNGA</t>
        </is>
      </c>
      <c r="F109" t="inlineStr">
        <is>
          <t>Sveaskog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37940-2020</t>
        </is>
      </c>
      <c r="B110" s="1" t="n">
        <v>44057</v>
      </c>
      <c r="C110" s="1" t="n">
        <v>45275</v>
      </c>
      <c r="D110" t="inlineStr">
        <is>
          <t>VÄSTRA GÖTALANDS LÄN</t>
        </is>
      </c>
      <c r="E110" t="inlineStr">
        <is>
          <t>HERRLJUNGA</t>
        </is>
      </c>
      <c r="F110" t="inlineStr">
        <is>
          <t>Sveaskog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37942-2020</t>
        </is>
      </c>
      <c r="B111" s="1" t="n">
        <v>44057</v>
      </c>
      <c r="C111" s="1" t="n">
        <v>45275</v>
      </c>
      <c r="D111" t="inlineStr">
        <is>
          <t>VÄSTRA GÖTALANDS LÄN</t>
        </is>
      </c>
      <c r="E111" t="inlineStr">
        <is>
          <t>HERRLJUNGA</t>
        </is>
      </c>
      <c r="F111" t="inlineStr">
        <is>
          <t>Sveaskog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39124-2020</t>
        </is>
      </c>
      <c r="B112" s="1" t="n">
        <v>44063</v>
      </c>
      <c r="C112" s="1" t="n">
        <v>45275</v>
      </c>
      <c r="D112" t="inlineStr">
        <is>
          <t>VÄSTRA GÖTALANDS LÄN</t>
        </is>
      </c>
      <c r="E112" t="inlineStr">
        <is>
          <t>HERRLJUNGA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39257-2020</t>
        </is>
      </c>
      <c r="B113" s="1" t="n">
        <v>44063</v>
      </c>
      <c r="C113" s="1" t="n">
        <v>45275</v>
      </c>
      <c r="D113" t="inlineStr">
        <is>
          <t>VÄSTRA GÖTALANDS LÄN</t>
        </is>
      </c>
      <c r="E113" t="inlineStr">
        <is>
          <t>HERRLJUNGA</t>
        </is>
      </c>
      <c r="F113" t="inlineStr">
        <is>
          <t>Sveaskog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40142-2020</t>
        </is>
      </c>
      <c r="B114" s="1" t="n">
        <v>44068</v>
      </c>
      <c r="C114" s="1" t="n">
        <v>45275</v>
      </c>
      <c r="D114" t="inlineStr">
        <is>
          <t>VÄSTRA GÖTALANDS LÄN</t>
        </is>
      </c>
      <c r="E114" t="inlineStr">
        <is>
          <t>HERRLJUNGA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40570-2020</t>
        </is>
      </c>
      <c r="B115" s="1" t="n">
        <v>44069</v>
      </c>
      <c r="C115" s="1" t="n">
        <v>45275</v>
      </c>
      <c r="D115" t="inlineStr">
        <is>
          <t>VÄSTRA GÖTALANDS LÄN</t>
        </is>
      </c>
      <c r="E115" t="inlineStr">
        <is>
          <t>HERRLJUNGA</t>
        </is>
      </c>
      <c r="F115" t="inlineStr">
        <is>
          <t>Sveaskog</t>
        </is>
      </c>
      <c r="G115" t="n">
        <v>5.7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42579-2020</t>
        </is>
      </c>
      <c r="B116" s="1" t="n">
        <v>44077</v>
      </c>
      <c r="C116" s="1" t="n">
        <v>45275</v>
      </c>
      <c r="D116" t="inlineStr">
        <is>
          <t>VÄSTRA GÖTALANDS LÄN</t>
        </is>
      </c>
      <c r="E116" t="inlineStr">
        <is>
          <t>HERRLJUNGA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42947-2020</t>
        </is>
      </c>
      <c r="B117" s="1" t="n">
        <v>44078</v>
      </c>
      <c r="C117" s="1" t="n">
        <v>45275</v>
      </c>
      <c r="D117" t="inlineStr">
        <is>
          <t>VÄSTRA GÖTALANDS LÄN</t>
        </is>
      </c>
      <c r="E117" t="inlineStr">
        <is>
          <t>HERRLJUNGA</t>
        </is>
      </c>
      <c r="G117" t="n">
        <v>4.9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42943-2020</t>
        </is>
      </c>
      <c r="B118" s="1" t="n">
        <v>44078</v>
      </c>
      <c r="C118" s="1" t="n">
        <v>45275</v>
      </c>
      <c r="D118" t="inlineStr">
        <is>
          <t>VÄSTRA GÖTALANDS LÄN</t>
        </is>
      </c>
      <c r="E118" t="inlineStr">
        <is>
          <t>HERRLJUNGA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44547-2020</t>
        </is>
      </c>
      <c r="B119" s="1" t="n">
        <v>44085</v>
      </c>
      <c r="C119" s="1" t="n">
        <v>45275</v>
      </c>
      <c r="D119" t="inlineStr">
        <is>
          <t>VÄSTRA GÖTALANDS LÄN</t>
        </is>
      </c>
      <c r="E119" t="inlineStr">
        <is>
          <t>HERRLJUNGA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44794-2020</t>
        </is>
      </c>
      <c r="B120" s="1" t="n">
        <v>44085</v>
      </c>
      <c r="C120" s="1" t="n">
        <v>45275</v>
      </c>
      <c r="D120" t="inlineStr">
        <is>
          <t>VÄSTRA GÖTALANDS LÄN</t>
        </is>
      </c>
      <c r="E120" t="inlineStr">
        <is>
          <t>HERRLJUNGA</t>
        </is>
      </c>
      <c r="F120" t="inlineStr">
        <is>
          <t>Övriga statliga verk och myndigheter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44782-2020</t>
        </is>
      </c>
      <c r="B121" s="1" t="n">
        <v>44085</v>
      </c>
      <c r="C121" s="1" t="n">
        <v>45275</v>
      </c>
      <c r="D121" t="inlineStr">
        <is>
          <t>VÄSTRA GÖTALANDS LÄN</t>
        </is>
      </c>
      <c r="E121" t="inlineStr">
        <is>
          <t>HERRLJUNGA</t>
        </is>
      </c>
      <c r="F121" t="inlineStr">
        <is>
          <t>Övriga statliga verk och myndigheter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44790-2020</t>
        </is>
      </c>
      <c r="B122" s="1" t="n">
        <v>44085</v>
      </c>
      <c r="C122" s="1" t="n">
        <v>45275</v>
      </c>
      <c r="D122" t="inlineStr">
        <is>
          <t>VÄSTRA GÖTALANDS LÄN</t>
        </is>
      </c>
      <c r="E122" t="inlineStr">
        <is>
          <t>HERRLJUNGA</t>
        </is>
      </c>
      <c r="F122" t="inlineStr">
        <is>
          <t>Övriga statliga verk och myndigheter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44787-2020</t>
        </is>
      </c>
      <c r="B123" s="1" t="n">
        <v>44085</v>
      </c>
      <c r="C123" s="1" t="n">
        <v>45275</v>
      </c>
      <c r="D123" t="inlineStr">
        <is>
          <t>VÄSTRA GÖTALANDS LÄN</t>
        </is>
      </c>
      <c r="E123" t="inlineStr">
        <is>
          <t>HERRLJUNGA</t>
        </is>
      </c>
      <c r="F123" t="inlineStr">
        <is>
          <t>Övriga statliga verk och myndigheter</t>
        </is>
      </c>
      <c r="G123" t="n">
        <v>5.1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45701-2020</t>
        </is>
      </c>
      <c r="B124" s="1" t="n">
        <v>44090</v>
      </c>
      <c r="C124" s="1" t="n">
        <v>45275</v>
      </c>
      <c r="D124" t="inlineStr">
        <is>
          <t>VÄSTRA GÖTALANDS LÄN</t>
        </is>
      </c>
      <c r="E124" t="inlineStr">
        <is>
          <t>HERRLJUNGA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45761-2020</t>
        </is>
      </c>
      <c r="B125" s="1" t="n">
        <v>44090</v>
      </c>
      <c r="C125" s="1" t="n">
        <v>45275</v>
      </c>
      <c r="D125" t="inlineStr">
        <is>
          <t>VÄSTRA GÖTALANDS LÄN</t>
        </is>
      </c>
      <c r="E125" t="inlineStr">
        <is>
          <t>HERRLJUNGA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48300-2020</t>
        </is>
      </c>
      <c r="B126" s="1" t="n">
        <v>44097</v>
      </c>
      <c r="C126" s="1" t="n">
        <v>45275</v>
      </c>
      <c r="D126" t="inlineStr">
        <is>
          <t>VÄSTRA GÖTALANDS LÄN</t>
        </is>
      </c>
      <c r="E126" t="inlineStr">
        <is>
          <t>HERRLJUNGA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50514-2020</t>
        </is>
      </c>
      <c r="B127" s="1" t="n">
        <v>44105</v>
      </c>
      <c r="C127" s="1" t="n">
        <v>45275</v>
      </c>
      <c r="D127" t="inlineStr">
        <is>
          <t>VÄSTRA GÖTALANDS LÄN</t>
        </is>
      </c>
      <c r="E127" t="inlineStr">
        <is>
          <t>HERRLJUNGA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53745-2020</t>
        </is>
      </c>
      <c r="B128" s="1" t="n">
        <v>44124</v>
      </c>
      <c r="C128" s="1" t="n">
        <v>45275</v>
      </c>
      <c r="D128" t="inlineStr">
        <is>
          <t>VÄSTRA GÖTALANDS LÄN</t>
        </is>
      </c>
      <c r="E128" t="inlineStr">
        <is>
          <t>HERRLJUNGA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54169-2020</t>
        </is>
      </c>
      <c r="B129" s="1" t="n">
        <v>44125</v>
      </c>
      <c r="C129" s="1" t="n">
        <v>45275</v>
      </c>
      <c r="D129" t="inlineStr">
        <is>
          <t>VÄSTRA GÖTALANDS LÄN</t>
        </is>
      </c>
      <c r="E129" t="inlineStr">
        <is>
          <t>HERRLJUNGA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56925-2020</t>
        </is>
      </c>
      <c r="B130" s="1" t="n">
        <v>44138</v>
      </c>
      <c r="C130" s="1" t="n">
        <v>45275</v>
      </c>
      <c r="D130" t="inlineStr">
        <is>
          <t>VÄSTRA GÖTALANDS LÄN</t>
        </is>
      </c>
      <c r="E130" t="inlineStr">
        <is>
          <t>HERRLJUNGA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57536-2020</t>
        </is>
      </c>
      <c r="B131" s="1" t="n">
        <v>44140</v>
      </c>
      <c r="C131" s="1" t="n">
        <v>45275</v>
      </c>
      <c r="D131" t="inlineStr">
        <is>
          <t>VÄSTRA GÖTALANDS LÄN</t>
        </is>
      </c>
      <c r="E131" t="inlineStr">
        <is>
          <t>HERRLJUNGA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61103-2020</t>
        </is>
      </c>
      <c r="B132" s="1" t="n">
        <v>44154</v>
      </c>
      <c r="C132" s="1" t="n">
        <v>45275</v>
      </c>
      <c r="D132" t="inlineStr">
        <is>
          <t>VÄSTRA GÖTALANDS LÄN</t>
        </is>
      </c>
      <c r="E132" t="inlineStr">
        <is>
          <t>HERRLJUNGA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65083-2020</t>
        </is>
      </c>
      <c r="B133" s="1" t="n">
        <v>44172</v>
      </c>
      <c r="C133" s="1" t="n">
        <v>45275</v>
      </c>
      <c r="D133" t="inlineStr">
        <is>
          <t>VÄSTRA GÖTALANDS LÄN</t>
        </is>
      </c>
      <c r="E133" t="inlineStr">
        <is>
          <t>HERRLJUNGA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65528-2020</t>
        </is>
      </c>
      <c r="B134" s="1" t="n">
        <v>44172</v>
      </c>
      <c r="C134" s="1" t="n">
        <v>45275</v>
      </c>
      <c r="D134" t="inlineStr">
        <is>
          <t>VÄSTRA GÖTALANDS LÄN</t>
        </is>
      </c>
      <c r="E134" t="inlineStr">
        <is>
          <t>HERRLJUNGA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65878-2020</t>
        </is>
      </c>
      <c r="B135" s="1" t="n">
        <v>44174</v>
      </c>
      <c r="C135" s="1" t="n">
        <v>45275</v>
      </c>
      <c r="D135" t="inlineStr">
        <is>
          <t>VÄSTRA GÖTALANDS LÄN</t>
        </is>
      </c>
      <c r="E135" t="inlineStr">
        <is>
          <t>HERRLJUNGA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65929-2020</t>
        </is>
      </c>
      <c r="B136" s="1" t="n">
        <v>44175</v>
      </c>
      <c r="C136" s="1" t="n">
        <v>45275</v>
      </c>
      <c r="D136" t="inlineStr">
        <is>
          <t>VÄSTRA GÖTALANDS LÄN</t>
        </is>
      </c>
      <c r="E136" t="inlineStr">
        <is>
          <t>HERRLJUNGA</t>
        </is>
      </c>
      <c r="G136" t="n">
        <v>5.9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66728-2020</t>
        </is>
      </c>
      <c r="B137" s="1" t="n">
        <v>44179</v>
      </c>
      <c r="C137" s="1" t="n">
        <v>45275</v>
      </c>
      <c r="D137" t="inlineStr">
        <is>
          <t>VÄSTRA GÖTALANDS LÄN</t>
        </is>
      </c>
      <c r="E137" t="inlineStr">
        <is>
          <t>HERRLJUNGA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143-2021</t>
        </is>
      </c>
      <c r="B138" s="1" t="n">
        <v>44200</v>
      </c>
      <c r="C138" s="1" t="n">
        <v>45275</v>
      </c>
      <c r="D138" t="inlineStr">
        <is>
          <t>VÄSTRA GÖTALANDS LÄN</t>
        </is>
      </c>
      <c r="E138" t="inlineStr">
        <is>
          <t>HERRLJUNGA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366-2021</t>
        </is>
      </c>
      <c r="B139" s="1" t="n">
        <v>44201</v>
      </c>
      <c r="C139" s="1" t="n">
        <v>45275</v>
      </c>
      <c r="D139" t="inlineStr">
        <is>
          <t>VÄSTRA GÖTALANDS LÄN</t>
        </is>
      </c>
      <c r="E139" t="inlineStr">
        <is>
          <t>HERRLJUNGA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364-2021</t>
        </is>
      </c>
      <c r="B140" s="1" t="n">
        <v>44201</v>
      </c>
      <c r="C140" s="1" t="n">
        <v>45275</v>
      </c>
      <c r="D140" t="inlineStr">
        <is>
          <t>VÄSTRA GÖTALANDS LÄN</t>
        </is>
      </c>
      <c r="E140" t="inlineStr">
        <is>
          <t>HERRLJUNGA</t>
        </is>
      </c>
      <c r="G140" t="n">
        <v>6.5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734-2021</t>
        </is>
      </c>
      <c r="B141" s="1" t="n">
        <v>44204</v>
      </c>
      <c r="C141" s="1" t="n">
        <v>45275</v>
      </c>
      <c r="D141" t="inlineStr">
        <is>
          <t>VÄSTRA GÖTALANDS LÄN</t>
        </is>
      </c>
      <c r="E141" t="inlineStr">
        <is>
          <t>HERRLJUNGA</t>
        </is>
      </c>
      <c r="F141" t="inlineStr">
        <is>
          <t>Övriga statliga verk och myndigheter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1446-2021</t>
        </is>
      </c>
      <c r="B142" s="1" t="n">
        <v>44208</v>
      </c>
      <c r="C142" s="1" t="n">
        <v>45275</v>
      </c>
      <c r="D142" t="inlineStr">
        <is>
          <t>VÄSTRA GÖTALANDS LÄN</t>
        </is>
      </c>
      <c r="E142" t="inlineStr">
        <is>
          <t>HERRLJUNGA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2838-2021</t>
        </is>
      </c>
      <c r="B143" s="1" t="n">
        <v>44216</v>
      </c>
      <c r="C143" s="1" t="n">
        <v>45275</v>
      </c>
      <c r="D143" t="inlineStr">
        <is>
          <t>VÄSTRA GÖTALANDS LÄN</t>
        </is>
      </c>
      <c r="E143" t="inlineStr">
        <is>
          <t>HERRLJUNGA</t>
        </is>
      </c>
      <c r="G143" t="n">
        <v>5.1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3860-2021</t>
        </is>
      </c>
      <c r="B144" s="1" t="n">
        <v>44222</v>
      </c>
      <c r="C144" s="1" t="n">
        <v>45275</v>
      </c>
      <c r="D144" t="inlineStr">
        <is>
          <t>VÄSTRA GÖTALANDS LÄN</t>
        </is>
      </c>
      <c r="E144" t="inlineStr">
        <is>
          <t>HERRLJUNGA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4706-2021</t>
        </is>
      </c>
      <c r="B145" s="1" t="n">
        <v>44225</v>
      </c>
      <c r="C145" s="1" t="n">
        <v>45275</v>
      </c>
      <c r="D145" t="inlineStr">
        <is>
          <t>VÄSTRA GÖTALANDS LÄN</t>
        </is>
      </c>
      <c r="E145" t="inlineStr">
        <is>
          <t>HERRLJUNGA</t>
        </is>
      </c>
      <c r="G145" t="n">
        <v>4.8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6628-2021</t>
        </is>
      </c>
      <c r="B146" s="1" t="n">
        <v>44236</v>
      </c>
      <c r="C146" s="1" t="n">
        <v>45275</v>
      </c>
      <c r="D146" t="inlineStr">
        <is>
          <t>VÄSTRA GÖTALANDS LÄN</t>
        </is>
      </c>
      <c r="E146" t="inlineStr">
        <is>
          <t>HERRLJUNGA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6675-2021</t>
        </is>
      </c>
      <c r="B147" s="1" t="n">
        <v>44236</v>
      </c>
      <c r="C147" s="1" t="n">
        <v>45275</v>
      </c>
      <c r="D147" t="inlineStr">
        <is>
          <t>VÄSTRA GÖTALANDS LÄN</t>
        </is>
      </c>
      <c r="E147" t="inlineStr">
        <is>
          <t>HERRLJUNGA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6625-2021</t>
        </is>
      </c>
      <c r="B148" s="1" t="n">
        <v>44236</v>
      </c>
      <c r="C148" s="1" t="n">
        <v>45275</v>
      </c>
      <c r="D148" t="inlineStr">
        <is>
          <t>VÄSTRA GÖTALANDS LÄN</t>
        </is>
      </c>
      <c r="E148" t="inlineStr">
        <is>
          <t>HERRLJUNGA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7769-2021</t>
        </is>
      </c>
      <c r="B149" s="1" t="n">
        <v>44242</v>
      </c>
      <c r="C149" s="1" t="n">
        <v>45275</v>
      </c>
      <c r="D149" t="inlineStr">
        <is>
          <t>VÄSTRA GÖTALANDS LÄN</t>
        </is>
      </c>
      <c r="E149" t="inlineStr">
        <is>
          <t>HERRLJUNGA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7773-2021</t>
        </is>
      </c>
      <c r="B150" s="1" t="n">
        <v>44242</v>
      </c>
      <c r="C150" s="1" t="n">
        <v>45275</v>
      </c>
      <c r="D150" t="inlineStr">
        <is>
          <t>VÄSTRA GÖTALANDS LÄN</t>
        </is>
      </c>
      <c r="E150" t="inlineStr">
        <is>
          <t>HERRLJUNGA</t>
        </is>
      </c>
      <c r="G150" t="n">
        <v>9.9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8236-2021</t>
        </is>
      </c>
      <c r="B151" s="1" t="n">
        <v>44244</v>
      </c>
      <c r="C151" s="1" t="n">
        <v>45275</v>
      </c>
      <c r="D151" t="inlineStr">
        <is>
          <t>VÄSTRA GÖTALANDS LÄN</t>
        </is>
      </c>
      <c r="E151" t="inlineStr">
        <is>
          <t>HERRLJUNGA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8659-2021</t>
        </is>
      </c>
      <c r="B152" s="1" t="n">
        <v>44246</v>
      </c>
      <c r="C152" s="1" t="n">
        <v>45275</v>
      </c>
      <c r="D152" t="inlineStr">
        <is>
          <t>VÄSTRA GÖTALANDS LÄN</t>
        </is>
      </c>
      <c r="E152" t="inlineStr">
        <is>
          <t>HERRLJUNGA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9332-2021</t>
        </is>
      </c>
      <c r="B153" s="1" t="n">
        <v>44250</v>
      </c>
      <c r="C153" s="1" t="n">
        <v>45275</v>
      </c>
      <c r="D153" t="inlineStr">
        <is>
          <t>VÄSTRA GÖTALANDS LÄN</t>
        </is>
      </c>
      <c r="E153" t="inlineStr">
        <is>
          <t>HERRLJUNGA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9413-2021</t>
        </is>
      </c>
      <c r="B154" s="1" t="n">
        <v>44251</v>
      </c>
      <c r="C154" s="1" t="n">
        <v>45275</v>
      </c>
      <c r="D154" t="inlineStr">
        <is>
          <t>VÄSTRA GÖTALANDS LÄN</t>
        </is>
      </c>
      <c r="E154" t="inlineStr">
        <is>
          <t>HERRLJUNGA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10166-2021</t>
        </is>
      </c>
      <c r="B155" s="1" t="n">
        <v>44256</v>
      </c>
      <c r="C155" s="1" t="n">
        <v>45275</v>
      </c>
      <c r="D155" t="inlineStr">
        <is>
          <t>VÄSTRA GÖTALANDS LÄN</t>
        </is>
      </c>
      <c r="E155" t="inlineStr">
        <is>
          <t>HERRLJUNGA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10173-2021</t>
        </is>
      </c>
      <c r="B156" s="1" t="n">
        <v>44256</v>
      </c>
      <c r="C156" s="1" t="n">
        <v>45275</v>
      </c>
      <c r="D156" t="inlineStr">
        <is>
          <t>VÄSTRA GÖTALANDS LÄN</t>
        </is>
      </c>
      <c r="E156" t="inlineStr">
        <is>
          <t>HERRLJUNGA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12654-2021</t>
        </is>
      </c>
      <c r="B157" s="1" t="n">
        <v>44270</v>
      </c>
      <c r="C157" s="1" t="n">
        <v>45275</v>
      </c>
      <c r="D157" t="inlineStr">
        <is>
          <t>VÄSTRA GÖTALANDS LÄN</t>
        </is>
      </c>
      <c r="E157" t="inlineStr">
        <is>
          <t>HERRLJUNGA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16919-2021</t>
        </is>
      </c>
      <c r="B158" s="1" t="n">
        <v>44295</v>
      </c>
      <c r="C158" s="1" t="n">
        <v>45275</v>
      </c>
      <c r="D158" t="inlineStr">
        <is>
          <t>VÄSTRA GÖTALANDS LÄN</t>
        </is>
      </c>
      <c r="E158" t="inlineStr">
        <is>
          <t>HERRLJUNGA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16927-2021</t>
        </is>
      </c>
      <c r="B159" s="1" t="n">
        <v>44295</v>
      </c>
      <c r="C159" s="1" t="n">
        <v>45275</v>
      </c>
      <c r="D159" t="inlineStr">
        <is>
          <t>VÄSTRA GÖTALANDS LÄN</t>
        </is>
      </c>
      <c r="E159" t="inlineStr">
        <is>
          <t>HERRLJUNGA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16916-2021</t>
        </is>
      </c>
      <c r="B160" s="1" t="n">
        <v>44295</v>
      </c>
      <c r="C160" s="1" t="n">
        <v>45275</v>
      </c>
      <c r="D160" t="inlineStr">
        <is>
          <t>VÄSTRA GÖTALANDS LÄN</t>
        </is>
      </c>
      <c r="E160" t="inlineStr">
        <is>
          <t>HERRLJUNGA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17028-2021</t>
        </is>
      </c>
      <c r="B161" s="1" t="n">
        <v>44295</v>
      </c>
      <c r="C161" s="1" t="n">
        <v>45275</v>
      </c>
      <c r="D161" t="inlineStr">
        <is>
          <t>VÄSTRA GÖTALANDS LÄN</t>
        </is>
      </c>
      <c r="E161" t="inlineStr">
        <is>
          <t>HERRLJUNGA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17032-2021</t>
        </is>
      </c>
      <c r="B162" s="1" t="n">
        <v>44295</v>
      </c>
      <c r="C162" s="1" t="n">
        <v>45275</v>
      </c>
      <c r="D162" t="inlineStr">
        <is>
          <t>VÄSTRA GÖTALANDS LÄN</t>
        </is>
      </c>
      <c r="E162" t="inlineStr">
        <is>
          <t>HERRLJUNGA</t>
        </is>
      </c>
      <c r="G162" t="n">
        <v>7.1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17756-2021</t>
        </is>
      </c>
      <c r="B163" s="1" t="n">
        <v>44300</v>
      </c>
      <c r="C163" s="1" t="n">
        <v>45275</v>
      </c>
      <c r="D163" t="inlineStr">
        <is>
          <t>VÄSTRA GÖTALANDS LÄN</t>
        </is>
      </c>
      <c r="E163" t="inlineStr">
        <is>
          <t>HERRLJUNGA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18358-2021</t>
        </is>
      </c>
      <c r="B164" s="1" t="n">
        <v>44305</v>
      </c>
      <c r="C164" s="1" t="n">
        <v>45275</v>
      </c>
      <c r="D164" t="inlineStr">
        <is>
          <t>VÄSTRA GÖTALANDS LÄN</t>
        </is>
      </c>
      <c r="E164" t="inlineStr">
        <is>
          <t>HERRLJUNGA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18832-2021</t>
        </is>
      </c>
      <c r="B165" s="1" t="n">
        <v>44307</v>
      </c>
      <c r="C165" s="1" t="n">
        <v>45275</v>
      </c>
      <c r="D165" t="inlineStr">
        <is>
          <t>VÄSTRA GÖTALANDS LÄN</t>
        </is>
      </c>
      <c r="E165" t="inlineStr">
        <is>
          <t>HERRLJUNGA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19937-2021</t>
        </is>
      </c>
      <c r="B166" s="1" t="n">
        <v>44313</v>
      </c>
      <c r="C166" s="1" t="n">
        <v>45275</v>
      </c>
      <c r="D166" t="inlineStr">
        <is>
          <t>VÄSTRA GÖTALANDS LÄN</t>
        </is>
      </c>
      <c r="E166" t="inlineStr">
        <is>
          <t>HERRLJUNGA</t>
        </is>
      </c>
      <c r="G166" t="n">
        <v>9.699999999999999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19941-2021</t>
        </is>
      </c>
      <c r="B167" s="1" t="n">
        <v>44313</v>
      </c>
      <c r="C167" s="1" t="n">
        <v>45275</v>
      </c>
      <c r="D167" t="inlineStr">
        <is>
          <t>VÄSTRA GÖTALANDS LÄN</t>
        </is>
      </c>
      <c r="E167" t="inlineStr">
        <is>
          <t>HERRLJUNGA</t>
        </is>
      </c>
      <c r="G167" t="n">
        <v>4.7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20005-2021</t>
        </is>
      </c>
      <c r="B168" s="1" t="n">
        <v>44313</v>
      </c>
      <c r="C168" s="1" t="n">
        <v>45275</v>
      </c>
      <c r="D168" t="inlineStr">
        <is>
          <t>VÄSTRA GÖTALANDS LÄN</t>
        </is>
      </c>
      <c r="E168" t="inlineStr">
        <is>
          <t>HERRLJUNGA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21116-2021</t>
        </is>
      </c>
      <c r="B169" s="1" t="n">
        <v>44320</v>
      </c>
      <c r="C169" s="1" t="n">
        <v>45275</v>
      </c>
      <c r="D169" t="inlineStr">
        <is>
          <t>VÄSTRA GÖTALANDS LÄN</t>
        </is>
      </c>
      <c r="E169" t="inlineStr">
        <is>
          <t>HERRLJUNGA</t>
        </is>
      </c>
      <c r="F169" t="inlineStr">
        <is>
          <t>Sveaskog</t>
        </is>
      </c>
      <c r="G169" t="n">
        <v>6.2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22710-2021</t>
        </is>
      </c>
      <c r="B170" s="1" t="n">
        <v>44327</v>
      </c>
      <c r="C170" s="1" t="n">
        <v>45275</v>
      </c>
      <c r="D170" t="inlineStr">
        <is>
          <t>VÄSTRA GÖTALANDS LÄN</t>
        </is>
      </c>
      <c r="E170" t="inlineStr">
        <is>
          <t>HERRLJUNGA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30180-2021</t>
        </is>
      </c>
      <c r="B171" s="1" t="n">
        <v>44363</v>
      </c>
      <c r="C171" s="1" t="n">
        <v>45275</v>
      </c>
      <c r="D171" t="inlineStr">
        <is>
          <t>VÄSTRA GÖTALANDS LÄN</t>
        </is>
      </c>
      <c r="E171" t="inlineStr">
        <is>
          <t>HERRLJUNGA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33784-2021</t>
        </is>
      </c>
      <c r="B172" s="1" t="n">
        <v>44378</v>
      </c>
      <c r="C172" s="1" t="n">
        <v>45275</v>
      </c>
      <c r="D172" t="inlineStr">
        <is>
          <t>VÄSTRA GÖTALANDS LÄN</t>
        </is>
      </c>
      <c r="E172" t="inlineStr">
        <is>
          <t>HERRLJUNGA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34423-2021</t>
        </is>
      </c>
      <c r="B173" s="1" t="n">
        <v>44380</v>
      </c>
      <c r="C173" s="1" t="n">
        <v>45275</v>
      </c>
      <c r="D173" t="inlineStr">
        <is>
          <t>VÄSTRA GÖTALANDS LÄN</t>
        </is>
      </c>
      <c r="E173" t="inlineStr">
        <is>
          <t>HERRLJUNGA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34422-2021</t>
        </is>
      </c>
      <c r="B174" s="1" t="n">
        <v>44380</v>
      </c>
      <c r="C174" s="1" t="n">
        <v>45275</v>
      </c>
      <c r="D174" t="inlineStr">
        <is>
          <t>VÄSTRA GÖTALANDS LÄN</t>
        </is>
      </c>
      <c r="E174" t="inlineStr">
        <is>
          <t>HERRLJUNGA</t>
        </is>
      </c>
      <c r="G174" t="n">
        <v>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37152-2021</t>
        </is>
      </c>
      <c r="B175" s="1" t="n">
        <v>44396</v>
      </c>
      <c r="C175" s="1" t="n">
        <v>45275</v>
      </c>
      <c r="D175" t="inlineStr">
        <is>
          <t>VÄSTRA GÖTALANDS LÄN</t>
        </is>
      </c>
      <c r="E175" t="inlineStr">
        <is>
          <t>HERRLJUNGA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39654-2021</t>
        </is>
      </c>
      <c r="B176" s="1" t="n">
        <v>44417</v>
      </c>
      <c r="C176" s="1" t="n">
        <v>45275</v>
      </c>
      <c r="D176" t="inlineStr">
        <is>
          <t>VÄSTRA GÖTALANDS LÄN</t>
        </is>
      </c>
      <c r="E176" t="inlineStr">
        <is>
          <t>HERRLJUNGA</t>
        </is>
      </c>
      <c r="G176" t="n">
        <v>5.6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39724-2021</t>
        </is>
      </c>
      <c r="B177" s="1" t="n">
        <v>44417</v>
      </c>
      <c r="C177" s="1" t="n">
        <v>45275</v>
      </c>
      <c r="D177" t="inlineStr">
        <is>
          <t>VÄSTRA GÖTALANDS LÄN</t>
        </is>
      </c>
      <c r="E177" t="inlineStr">
        <is>
          <t>HERRLJUNGA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39732-2021</t>
        </is>
      </c>
      <c r="B178" s="1" t="n">
        <v>44417</v>
      </c>
      <c r="C178" s="1" t="n">
        <v>45275</v>
      </c>
      <c r="D178" t="inlineStr">
        <is>
          <t>VÄSTRA GÖTALANDS LÄN</t>
        </is>
      </c>
      <c r="E178" t="inlineStr">
        <is>
          <t>HERRLJUNGA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39725-2021</t>
        </is>
      </c>
      <c r="B179" s="1" t="n">
        <v>44417</v>
      </c>
      <c r="C179" s="1" t="n">
        <v>45275</v>
      </c>
      <c r="D179" t="inlineStr">
        <is>
          <t>VÄSTRA GÖTALANDS LÄN</t>
        </is>
      </c>
      <c r="E179" t="inlineStr">
        <is>
          <t>HERRLJUNGA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39730-2021</t>
        </is>
      </c>
      <c r="B180" s="1" t="n">
        <v>44417</v>
      </c>
      <c r="C180" s="1" t="n">
        <v>45275</v>
      </c>
      <c r="D180" t="inlineStr">
        <is>
          <t>VÄSTRA GÖTALANDS LÄN</t>
        </is>
      </c>
      <c r="E180" t="inlineStr">
        <is>
          <t>HERRLJUNGA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40384-2021</t>
        </is>
      </c>
      <c r="B181" s="1" t="n">
        <v>44419</v>
      </c>
      <c r="C181" s="1" t="n">
        <v>45275</v>
      </c>
      <c r="D181" t="inlineStr">
        <is>
          <t>VÄSTRA GÖTALANDS LÄN</t>
        </is>
      </c>
      <c r="E181" t="inlineStr">
        <is>
          <t>HERRLJUNGA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41048-2021</t>
        </is>
      </c>
      <c r="B182" s="1" t="n">
        <v>44421</v>
      </c>
      <c r="C182" s="1" t="n">
        <v>45275</v>
      </c>
      <c r="D182" t="inlineStr">
        <is>
          <t>VÄSTRA GÖTALANDS LÄN</t>
        </is>
      </c>
      <c r="E182" t="inlineStr">
        <is>
          <t>HERRLJUNGA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41087-2021</t>
        </is>
      </c>
      <c r="B183" s="1" t="n">
        <v>44422</v>
      </c>
      <c r="C183" s="1" t="n">
        <v>45275</v>
      </c>
      <c r="D183" t="inlineStr">
        <is>
          <t>VÄSTRA GÖTALANDS LÄN</t>
        </is>
      </c>
      <c r="E183" t="inlineStr">
        <is>
          <t>HERRLJUNGA</t>
        </is>
      </c>
      <c r="G183" t="n">
        <v>3.8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42986-2021</t>
        </is>
      </c>
      <c r="B184" s="1" t="n">
        <v>44431</v>
      </c>
      <c r="C184" s="1" t="n">
        <v>45275</v>
      </c>
      <c r="D184" t="inlineStr">
        <is>
          <t>VÄSTRA GÖTALANDS LÄN</t>
        </is>
      </c>
      <c r="E184" t="inlineStr">
        <is>
          <t>HERRLJUNGA</t>
        </is>
      </c>
      <c r="F184" t="inlineStr">
        <is>
          <t>Kyrkan</t>
        </is>
      </c>
      <c r="G184" t="n">
        <v>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45829-2021</t>
        </is>
      </c>
      <c r="B185" s="1" t="n">
        <v>44441</v>
      </c>
      <c r="C185" s="1" t="n">
        <v>45275</v>
      </c>
      <c r="D185" t="inlineStr">
        <is>
          <t>VÄSTRA GÖTALANDS LÄN</t>
        </is>
      </c>
      <c r="E185" t="inlineStr">
        <is>
          <t>HERRLJUNGA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45832-2021</t>
        </is>
      </c>
      <c r="B186" s="1" t="n">
        <v>44441</v>
      </c>
      <c r="C186" s="1" t="n">
        <v>45275</v>
      </c>
      <c r="D186" t="inlineStr">
        <is>
          <t>VÄSTRA GÖTALANDS LÄN</t>
        </is>
      </c>
      <c r="E186" t="inlineStr">
        <is>
          <t>HERRLJUNGA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45833-2021</t>
        </is>
      </c>
      <c r="B187" s="1" t="n">
        <v>44441</v>
      </c>
      <c r="C187" s="1" t="n">
        <v>45275</v>
      </c>
      <c r="D187" t="inlineStr">
        <is>
          <t>VÄSTRA GÖTALANDS LÄN</t>
        </is>
      </c>
      <c r="E187" t="inlineStr">
        <is>
          <t>HERRLJUNGA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47186-2021</t>
        </is>
      </c>
      <c r="B188" s="1" t="n">
        <v>44447</v>
      </c>
      <c r="C188" s="1" t="n">
        <v>45275</v>
      </c>
      <c r="D188" t="inlineStr">
        <is>
          <t>VÄSTRA GÖTALANDS LÄN</t>
        </is>
      </c>
      <c r="E188" t="inlineStr">
        <is>
          <t>HERRLJUNGA</t>
        </is>
      </c>
      <c r="G188" t="n">
        <v>5.2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47284-2021</t>
        </is>
      </c>
      <c r="B189" s="1" t="n">
        <v>44447</v>
      </c>
      <c r="C189" s="1" t="n">
        <v>45275</v>
      </c>
      <c r="D189" t="inlineStr">
        <is>
          <t>VÄSTRA GÖTALANDS LÄN</t>
        </is>
      </c>
      <c r="E189" t="inlineStr">
        <is>
          <t>HERRLJUNGA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48278-2021</t>
        </is>
      </c>
      <c r="B190" s="1" t="n">
        <v>44449</v>
      </c>
      <c r="C190" s="1" t="n">
        <v>45275</v>
      </c>
      <c r="D190" t="inlineStr">
        <is>
          <t>VÄSTRA GÖTALANDS LÄN</t>
        </is>
      </c>
      <c r="E190" t="inlineStr">
        <is>
          <t>HERRLJUNGA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48259-2021</t>
        </is>
      </c>
      <c r="B191" s="1" t="n">
        <v>44449</v>
      </c>
      <c r="C191" s="1" t="n">
        <v>45275</v>
      </c>
      <c r="D191" t="inlineStr">
        <is>
          <t>VÄSTRA GÖTALANDS LÄN</t>
        </is>
      </c>
      <c r="E191" t="inlineStr">
        <is>
          <t>HERRLJUNGA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48893-2021</t>
        </is>
      </c>
      <c r="B192" s="1" t="n">
        <v>44452</v>
      </c>
      <c r="C192" s="1" t="n">
        <v>45275</v>
      </c>
      <c r="D192" t="inlineStr">
        <is>
          <t>VÄSTRA GÖTALANDS LÄN</t>
        </is>
      </c>
      <c r="E192" t="inlineStr">
        <is>
          <t>HERRLJUNGA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49988-2021</t>
        </is>
      </c>
      <c r="B193" s="1" t="n">
        <v>44453</v>
      </c>
      <c r="C193" s="1" t="n">
        <v>45275</v>
      </c>
      <c r="D193" t="inlineStr">
        <is>
          <t>VÄSTRA GÖTALANDS LÄN</t>
        </is>
      </c>
      <c r="E193" t="inlineStr">
        <is>
          <t>HERRLJUNGA</t>
        </is>
      </c>
      <c r="G193" t="n">
        <v>12.3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49595-2021</t>
        </is>
      </c>
      <c r="B194" s="1" t="n">
        <v>44455</v>
      </c>
      <c r="C194" s="1" t="n">
        <v>45275</v>
      </c>
      <c r="D194" t="inlineStr">
        <is>
          <t>VÄSTRA GÖTALANDS LÄN</t>
        </is>
      </c>
      <c r="E194" t="inlineStr">
        <is>
          <t>HERRLJUNGA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49597-2021</t>
        </is>
      </c>
      <c r="B195" s="1" t="n">
        <v>44455</v>
      </c>
      <c r="C195" s="1" t="n">
        <v>45275</v>
      </c>
      <c r="D195" t="inlineStr">
        <is>
          <t>VÄSTRA GÖTALANDS LÄN</t>
        </is>
      </c>
      <c r="E195" t="inlineStr">
        <is>
          <t>HERRLJUNGA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50492-2021</t>
        </is>
      </c>
      <c r="B196" s="1" t="n">
        <v>44459</v>
      </c>
      <c r="C196" s="1" t="n">
        <v>45275</v>
      </c>
      <c r="D196" t="inlineStr">
        <is>
          <t>VÄSTRA GÖTALANDS LÄN</t>
        </is>
      </c>
      <c r="E196" t="inlineStr">
        <is>
          <t>HERRLJUNGA</t>
        </is>
      </c>
      <c r="G196" t="n">
        <v>5.1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50932-2021</t>
        </is>
      </c>
      <c r="B197" s="1" t="n">
        <v>44459</v>
      </c>
      <c r="C197" s="1" t="n">
        <v>45275</v>
      </c>
      <c r="D197" t="inlineStr">
        <is>
          <t>VÄSTRA GÖTALANDS LÄN</t>
        </is>
      </c>
      <c r="E197" t="inlineStr">
        <is>
          <t>HERRLJUNGA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54510-2021</t>
        </is>
      </c>
      <c r="B198" s="1" t="n">
        <v>44473</v>
      </c>
      <c r="C198" s="1" t="n">
        <v>45275</v>
      </c>
      <c r="D198" t="inlineStr">
        <is>
          <t>VÄSTRA GÖTALANDS LÄN</t>
        </is>
      </c>
      <c r="E198" t="inlineStr">
        <is>
          <t>HERRLJUNGA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54875-2021</t>
        </is>
      </c>
      <c r="B199" s="1" t="n">
        <v>44474</v>
      </c>
      <c r="C199" s="1" t="n">
        <v>45275</v>
      </c>
      <c r="D199" t="inlineStr">
        <is>
          <t>VÄSTRA GÖTALANDS LÄN</t>
        </is>
      </c>
      <c r="E199" t="inlineStr">
        <is>
          <t>HERRLJUNGA</t>
        </is>
      </c>
      <c r="G199" t="n">
        <v>8.1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54914-2021</t>
        </is>
      </c>
      <c r="B200" s="1" t="n">
        <v>44474</v>
      </c>
      <c r="C200" s="1" t="n">
        <v>45275</v>
      </c>
      <c r="D200" t="inlineStr">
        <is>
          <t>VÄSTRA GÖTALANDS LÄN</t>
        </is>
      </c>
      <c r="E200" t="inlineStr">
        <is>
          <t>HERRLJUNGA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54920-2021</t>
        </is>
      </c>
      <c r="B201" s="1" t="n">
        <v>44474</v>
      </c>
      <c r="C201" s="1" t="n">
        <v>45275</v>
      </c>
      <c r="D201" t="inlineStr">
        <is>
          <t>VÄSTRA GÖTALANDS LÄN</t>
        </is>
      </c>
      <c r="E201" t="inlineStr">
        <is>
          <t>HERRLJUNGA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55826-2021</t>
        </is>
      </c>
      <c r="B202" s="1" t="n">
        <v>44476</v>
      </c>
      <c r="C202" s="1" t="n">
        <v>45275</v>
      </c>
      <c r="D202" t="inlineStr">
        <is>
          <t>VÄSTRA GÖTALANDS LÄN</t>
        </is>
      </c>
      <c r="E202" t="inlineStr">
        <is>
          <t>HERRLJUNGA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60402-2021</t>
        </is>
      </c>
      <c r="B203" s="1" t="n">
        <v>44496</v>
      </c>
      <c r="C203" s="1" t="n">
        <v>45275</v>
      </c>
      <c r="D203" t="inlineStr">
        <is>
          <t>VÄSTRA GÖTALANDS LÄN</t>
        </is>
      </c>
      <c r="E203" t="inlineStr">
        <is>
          <t>HERRLJUNGA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60406-2021</t>
        </is>
      </c>
      <c r="B204" s="1" t="n">
        <v>44496</v>
      </c>
      <c r="C204" s="1" t="n">
        <v>45275</v>
      </c>
      <c r="D204" t="inlineStr">
        <is>
          <t>VÄSTRA GÖTALANDS LÄN</t>
        </is>
      </c>
      <c r="E204" t="inlineStr">
        <is>
          <t>HERRLJUNGA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60851-2021</t>
        </is>
      </c>
      <c r="B205" s="1" t="n">
        <v>44497</v>
      </c>
      <c r="C205" s="1" t="n">
        <v>45275</v>
      </c>
      <c r="D205" t="inlineStr">
        <is>
          <t>VÄSTRA GÖTALANDS LÄN</t>
        </is>
      </c>
      <c r="E205" t="inlineStr">
        <is>
          <t>HERRLJUNGA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62165-2021</t>
        </is>
      </c>
      <c r="B206" s="1" t="n">
        <v>44502</v>
      </c>
      <c r="C206" s="1" t="n">
        <v>45275</v>
      </c>
      <c r="D206" t="inlineStr">
        <is>
          <t>VÄSTRA GÖTALANDS LÄN</t>
        </is>
      </c>
      <c r="E206" t="inlineStr">
        <is>
          <t>HERRLJUNGA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64516-2021</t>
        </is>
      </c>
      <c r="B207" s="1" t="n">
        <v>44511</v>
      </c>
      <c r="C207" s="1" t="n">
        <v>45275</v>
      </c>
      <c r="D207" t="inlineStr">
        <is>
          <t>VÄSTRA GÖTALANDS LÄN</t>
        </is>
      </c>
      <c r="E207" t="inlineStr">
        <is>
          <t>HERRLJUNGA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65082-2021</t>
        </is>
      </c>
      <c r="B208" s="1" t="n">
        <v>44515</v>
      </c>
      <c r="C208" s="1" t="n">
        <v>45275</v>
      </c>
      <c r="D208" t="inlineStr">
        <is>
          <t>VÄSTRA GÖTALANDS LÄN</t>
        </is>
      </c>
      <c r="E208" t="inlineStr">
        <is>
          <t>HERRLJUNGA</t>
        </is>
      </c>
      <c r="G208" t="n">
        <v>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65083-2021</t>
        </is>
      </c>
      <c r="B209" s="1" t="n">
        <v>44515</v>
      </c>
      <c r="C209" s="1" t="n">
        <v>45275</v>
      </c>
      <c r="D209" t="inlineStr">
        <is>
          <t>VÄSTRA GÖTALANDS LÄN</t>
        </is>
      </c>
      <c r="E209" t="inlineStr">
        <is>
          <t>HERRLJUNGA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65078-2021</t>
        </is>
      </c>
      <c r="B210" s="1" t="n">
        <v>44515</v>
      </c>
      <c r="C210" s="1" t="n">
        <v>45275</v>
      </c>
      <c r="D210" t="inlineStr">
        <is>
          <t>VÄSTRA GÖTALANDS LÄN</t>
        </is>
      </c>
      <c r="E210" t="inlineStr">
        <is>
          <t>HERRLJUNGA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65090-2021</t>
        </is>
      </c>
      <c r="B211" s="1" t="n">
        <v>44515</v>
      </c>
      <c r="C211" s="1" t="n">
        <v>45275</v>
      </c>
      <c r="D211" t="inlineStr">
        <is>
          <t>VÄSTRA GÖTALANDS LÄN</t>
        </is>
      </c>
      <c r="E211" t="inlineStr">
        <is>
          <t>HERRLJUNGA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65094-2021</t>
        </is>
      </c>
      <c r="B212" s="1" t="n">
        <v>44515</v>
      </c>
      <c r="C212" s="1" t="n">
        <v>45275</v>
      </c>
      <c r="D212" t="inlineStr">
        <is>
          <t>VÄSTRA GÖTALANDS LÄN</t>
        </is>
      </c>
      <c r="E212" t="inlineStr">
        <is>
          <t>HERRLJUNGA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66525-2021</t>
        </is>
      </c>
      <c r="B213" s="1" t="n">
        <v>44519</v>
      </c>
      <c r="C213" s="1" t="n">
        <v>45275</v>
      </c>
      <c r="D213" t="inlineStr">
        <is>
          <t>VÄSTRA GÖTALANDS LÄN</t>
        </is>
      </c>
      <c r="E213" t="inlineStr">
        <is>
          <t>HERRLJUNGA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67551-2021</t>
        </is>
      </c>
      <c r="B214" s="1" t="n">
        <v>44524</v>
      </c>
      <c r="C214" s="1" t="n">
        <v>45275</v>
      </c>
      <c r="D214" t="inlineStr">
        <is>
          <t>VÄSTRA GÖTALANDS LÄN</t>
        </is>
      </c>
      <c r="E214" t="inlineStr">
        <is>
          <t>HERRLJUNGA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67782-2021</t>
        </is>
      </c>
      <c r="B215" s="1" t="n">
        <v>44525</v>
      </c>
      <c r="C215" s="1" t="n">
        <v>45275</v>
      </c>
      <c r="D215" t="inlineStr">
        <is>
          <t>VÄSTRA GÖTALANDS LÄN</t>
        </is>
      </c>
      <c r="E215" t="inlineStr">
        <is>
          <t>HERRLJUNGA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67926-2021</t>
        </is>
      </c>
      <c r="B216" s="1" t="n">
        <v>44525</v>
      </c>
      <c r="C216" s="1" t="n">
        <v>45275</v>
      </c>
      <c r="D216" t="inlineStr">
        <is>
          <t>VÄSTRA GÖTALANDS LÄN</t>
        </is>
      </c>
      <c r="E216" t="inlineStr">
        <is>
          <t>HERRLJUNGA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68549-2021</t>
        </is>
      </c>
      <c r="B217" s="1" t="n">
        <v>44529</v>
      </c>
      <c r="C217" s="1" t="n">
        <v>45275</v>
      </c>
      <c r="D217" t="inlineStr">
        <is>
          <t>VÄSTRA GÖTALANDS LÄN</t>
        </is>
      </c>
      <c r="E217" t="inlineStr">
        <is>
          <t>HERRLJUNGA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70103-2021</t>
        </is>
      </c>
      <c r="B218" s="1" t="n">
        <v>44533</v>
      </c>
      <c r="C218" s="1" t="n">
        <v>45275</v>
      </c>
      <c r="D218" t="inlineStr">
        <is>
          <t>VÄSTRA GÖTALANDS LÄN</t>
        </is>
      </c>
      <c r="E218" t="inlineStr">
        <is>
          <t>HERRLJUNGA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69965-2021</t>
        </is>
      </c>
      <c r="B219" s="1" t="n">
        <v>44533</v>
      </c>
      <c r="C219" s="1" t="n">
        <v>45275</v>
      </c>
      <c r="D219" t="inlineStr">
        <is>
          <t>VÄSTRA GÖTALANDS LÄN</t>
        </is>
      </c>
      <c r="E219" t="inlineStr">
        <is>
          <t>HERRLJUNGA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69968-2021</t>
        </is>
      </c>
      <c r="B220" s="1" t="n">
        <v>44533</v>
      </c>
      <c r="C220" s="1" t="n">
        <v>45275</v>
      </c>
      <c r="D220" t="inlineStr">
        <is>
          <t>VÄSTRA GÖTALANDS LÄN</t>
        </is>
      </c>
      <c r="E220" t="inlineStr">
        <is>
          <t>HERRLJUNGA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70980-2021</t>
        </is>
      </c>
      <c r="B221" s="1" t="n">
        <v>44538</v>
      </c>
      <c r="C221" s="1" t="n">
        <v>45275</v>
      </c>
      <c r="D221" t="inlineStr">
        <is>
          <t>VÄSTRA GÖTALANDS LÄN</t>
        </is>
      </c>
      <c r="E221" t="inlineStr">
        <is>
          <t>HERRLJUNGA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71801-2021</t>
        </is>
      </c>
      <c r="B222" s="1" t="n">
        <v>44543</v>
      </c>
      <c r="C222" s="1" t="n">
        <v>45275</v>
      </c>
      <c r="D222" t="inlineStr">
        <is>
          <t>VÄSTRA GÖTALANDS LÄN</t>
        </is>
      </c>
      <c r="E222" t="inlineStr">
        <is>
          <t>HERRLJUNGA</t>
        </is>
      </c>
      <c r="G222" t="n">
        <v>7.8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72388-2021</t>
        </is>
      </c>
      <c r="B223" s="1" t="n">
        <v>44545</v>
      </c>
      <c r="C223" s="1" t="n">
        <v>45275</v>
      </c>
      <c r="D223" t="inlineStr">
        <is>
          <t>VÄSTRA GÖTALANDS LÄN</t>
        </is>
      </c>
      <c r="E223" t="inlineStr">
        <is>
          <t>HERRLJUNGA</t>
        </is>
      </c>
      <c r="F223" t="inlineStr">
        <is>
          <t>Kyrkan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72571-2021</t>
        </is>
      </c>
      <c r="B224" s="1" t="n">
        <v>44546</v>
      </c>
      <c r="C224" s="1" t="n">
        <v>45275</v>
      </c>
      <c r="D224" t="inlineStr">
        <is>
          <t>VÄSTRA GÖTALANDS LÄN</t>
        </is>
      </c>
      <c r="E224" t="inlineStr">
        <is>
          <t>HERRLJUNGA</t>
        </is>
      </c>
      <c r="F224" t="inlineStr">
        <is>
          <t>Kommuner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73358-2021</t>
        </is>
      </c>
      <c r="B225" s="1" t="n">
        <v>44551</v>
      </c>
      <c r="C225" s="1" t="n">
        <v>45275</v>
      </c>
      <c r="D225" t="inlineStr">
        <is>
          <t>VÄSTRA GÖTALANDS LÄN</t>
        </is>
      </c>
      <c r="E225" t="inlineStr">
        <is>
          <t>HERRLJUNGA</t>
        </is>
      </c>
      <c r="G225" t="n">
        <v>5.1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73735-2021</t>
        </is>
      </c>
      <c r="B226" s="1" t="n">
        <v>44552</v>
      </c>
      <c r="C226" s="1" t="n">
        <v>45275</v>
      </c>
      <c r="D226" t="inlineStr">
        <is>
          <t>VÄSTRA GÖTALANDS LÄN</t>
        </is>
      </c>
      <c r="E226" t="inlineStr">
        <is>
          <t>HERRLJUNGA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175-2022</t>
        </is>
      </c>
      <c r="B227" s="1" t="n">
        <v>44564</v>
      </c>
      <c r="C227" s="1" t="n">
        <v>45275</v>
      </c>
      <c r="D227" t="inlineStr">
        <is>
          <t>VÄSTRA GÖTALANDS LÄN</t>
        </is>
      </c>
      <c r="E227" t="inlineStr">
        <is>
          <t>HERRLJUNGA</t>
        </is>
      </c>
      <c r="F227" t="inlineStr">
        <is>
          <t>Kyrkan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177-2022</t>
        </is>
      </c>
      <c r="B228" s="1" t="n">
        <v>44564</v>
      </c>
      <c r="C228" s="1" t="n">
        <v>45275</v>
      </c>
      <c r="D228" t="inlineStr">
        <is>
          <t>VÄSTRA GÖTALANDS LÄN</t>
        </is>
      </c>
      <c r="E228" t="inlineStr">
        <is>
          <t>HERRLJUNGA</t>
        </is>
      </c>
      <c r="F228" t="inlineStr">
        <is>
          <t>Kyrkan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513-2022</t>
        </is>
      </c>
      <c r="B229" s="1" t="n">
        <v>44566</v>
      </c>
      <c r="C229" s="1" t="n">
        <v>45275</v>
      </c>
      <c r="D229" t="inlineStr">
        <is>
          <t>VÄSTRA GÖTALANDS LÄN</t>
        </is>
      </c>
      <c r="E229" t="inlineStr">
        <is>
          <t>HERRLJUNGA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1875-2022</t>
        </is>
      </c>
      <c r="B230" s="1" t="n">
        <v>44574</v>
      </c>
      <c r="C230" s="1" t="n">
        <v>45275</v>
      </c>
      <c r="D230" t="inlineStr">
        <is>
          <t>VÄSTRA GÖTALANDS LÄN</t>
        </is>
      </c>
      <c r="E230" t="inlineStr">
        <is>
          <t>HERRLJUNGA</t>
        </is>
      </c>
      <c r="G230" t="n">
        <v>11.4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2824-2022</t>
        </is>
      </c>
      <c r="B231" s="1" t="n">
        <v>44581</v>
      </c>
      <c r="C231" s="1" t="n">
        <v>45275</v>
      </c>
      <c r="D231" t="inlineStr">
        <is>
          <t>VÄSTRA GÖTALANDS LÄN</t>
        </is>
      </c>
      <c r="E231" t="inlineStr">
        <is>
          <t>HERRLJUNGA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4948-2022</t>
        </is>
      </c>
      <c r="B232" s="1" t="n">
        <v>44593</v>
      </c>
      <c r="C232" s="1" t="n">
        <v>45275</v>
      </c>
      <c r="D232" t="inlineStr">
        <is>
          <t>VÄSTRA GÖTALANDS LÄN</t>
        </is>
      </c>
      <c r="E232" t="inlineStr">
        <is>
          <t>HERRLJUNGA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6604-2022</t>
        </is>
      </c>
      <c r="B233" s="1" t="n">
        <v>44601</v>
      </c>
      <c r="C233" s="1" t="n">
        <v>45275</v>
      </c>
      <c r="D233" t="inlineStr">
        <is>
          <t>VÄSTRA GÖTALANDS LÄN</t>
        </is>
      </c>
      <c r="E233" t="inlineStr">
        <is>
          <t>HERRLJUNGA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7182-2022</t>
        </is>
      </c>
      <c r="B234" s="1" t="n">
        <v>44605</v>
      </c>
      <c r="C234" s="1" t="n">
        <v>45275</v>
      </c>
      <c r="D234" t="inlineStr">
        <is>
          <t>VÄSTRA GÖTALANDS LÄN</t>
        </is>
      </c>
      <c r="E234" t="inlineStr">
        <is>
          <t>HERRLJUNGA</t>
        </is>
      </c>
      <c r="G234" t="n">
        <v>8.699999999999999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7456-2022</t>
        </is>
      </c>
      <c r="B235" s="1" t="n">
        <v>44607</v>
      </c>
      <c r="C235" s="1" t="n">
        <v>45275</v>
      </c>
      <c r="D235" t="inlineStr">
        <is>
          <t>VÄSTRA GÖTALANDS LÄN</t>
        </is>
      </c>
      <c r="E235" t="inlineStr">
        <is>
          <t>HERRLJUNGA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8028-2022</t>
        </is>
      </c>
      <c r="B236" s="1" t="n">
        <v>44608</v>
      </c>
      <c r="C236" s="1" t="n">
        <v>45275</v>
      </c>
      <c r="D236" t="inlineStr">
        <is>
          <t>VÄSTRA GÖTALANDS LÄN</t>
        </is>
      </c>
      <c r="E236" t="inlineStr">
        <is>
          <t>HERRLJUNGA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12487-2022</t>
        </is>
      </c>
      <c r="B237" s="1" t="n">
        <v>44638</v>
      </c>
      <c r="C237" s="1" t="n">
        <v>45275</v>
      </c>
      <c r="D237" t="inlineStr">
        <is>
          <t>VÄSTRA GÖTALANDS LÄN</t>
        </is>
      </c>
      <c r="E237" t="inlineStr">
        <is>
          <t>HERRLJUNGA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12488-2022</t>
        </is>
      </c>
      <c r="B238" s="1" t="n">
        <v>44638</v>
      </c>
      <c r="C238" s="1" t="n">
        <v>45275</v>
      </c>
      <c r="D238" t="inlineStr">
        <is>
          <t>VÄSTRA GÖTALANDS LÄN</t>
        </is>
      </c>
      <c r="E238" t="inlineStr">
        <is>
          <t>HERRLJUNGA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12866-2022</t>
        </is>
      </c>
      <c r="B239" s="1" t="n">
        <v>44642</v>
      </c>
      <c r="C239" s="1" t="n">
        <v>45275</v>
      </c>
      <c r="D239" t="inlineStr">
        <is>
          <t>VÄSTRA GÖTALANDS LÄN</t>
        </is>
      </c>
      <c r="E239" t="inlineStr">
        <is>
          <t>HERRLJUNGA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13200-2022</t>
        </is>
      </c>
      <c r="B240" s="1" t="n">
        <v>44644</v>
      </c>
      <c r="C240" s="1" t="n">
        <v>45275</v>
      </c>
      <c r="D240" t="inlineStr">
        <is>
          <t>VÄSTRA GÖTALANDS LÄN</t>
        </is>
      </c>
      <c r="E240" t="inlineStr">
        <is>
          <t>HERRLJUNGA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15395-2022</t>
        </is>
      </c>
      <c r="B241" s="1" t="n">
        <v>44659</v>
      </c>
      <c r="C241" s="1" t="n">
        <v>45275</v>
      </c>
      <c r="D241" t="inlineStr">
        <is>
          <t>VÄSTRA GÖTALANDS LÄN</t>
        </is>
      </c>
      <c r="E241" t="inlineStr">
        <is>
          <t>HERRLJUNGA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15370-2022</t>
        </is>
      </c>
      <c r="B242" s="1" t="n">
        <v>44659</v>
      </c>
      <c r="C242" s="1" t="n">
        <v>45275</v>
      </c>
      <c r="D242" t="inlineStr">
        <is>
          <t>VÄSTRA GÖTALANDS LÄN</t>
        </is>
      </c>
      <c r="E242" t="inlineStr">
        <is>
          <t>HERRLJUNGA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15392-2022</t>
        </is>
      </c>
      <c r="B243" s="1" t="n">
        <v>44659</v>
      </c>
      <c r="C243" s="1" t="n">
        <v>45275</v>
      </c>
      <c r="D243" t="inlineStr">
        <is>
          <t>VÄSTRA GÖTALANDS LÄN</t>
        </is>
      </c>
      <c r="E243" t="inlineStr">
        <is>
          <t>HERRLJUNGA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16120-2022</t>
        </is>
      </c>
      <c r="B244" s="1" t="n">
        <v>44665</v>
      </c>
      <c r="C244" s="1" t="n">
        <v>45275</v>
      </c>
      <c r="D244" t="inlineStr">
        <is>
          <t>VÄSTRA GÖTALANDS LÄN</t>
        </is>
      </c>
      <c r="E244" t="inlineStr">
        <is>
          <t>HERRLJUNGA</t>
        </is>
      </c>
      <c r="G244" t="n">
        <v>5.2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17508-2022</t>
        </is>
      </c>
      <c r="B245" s="1" t="n">
        <v>44679</v>
      </c>
      <c r="C245" s="1" t="n">
        <v>45275</v>
      </c>
      <c r="D245" t="inlineStr">
        <is>
          <t>VÄSTRA GÖTALANDS LÄN</t>
        </is>
      </c>
      <c r="E245" t="inlineStr">
        <is>
          <t>HERRLJUNGA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18243-2022</t>
        </is>
      </c>
      <c r="B246" s="1" t="n">
        <v>44685</v>
      </c>
      <c r="C246" s="1" t="n">
        <v>45275</v>
      </c>
      <c r="D246" t="inlineStr">
        <is>
          <t>VÄSTRA GÖTALANDS LÄN</t>
        </is>
      </c>
      <c r="E246" t="inlineStr">
        <is>
          <t>HERRLJUNGA</t>
        </is>
      </c>
      <c r="G246" t="n">
        <v>3.6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18511-2022</t>
        </is>
      </c>
      <c r="B247" s="1" t="n">
        <v>44686</v>
      </c>
      <c r="C247" s="1" t="n">
        <v>45275</v>
      </c>
      <c r="D247" t="inlineStr">
        <is>
          <t>VÄSTRA GÖTALANDS LÄN</t>
        </is>
      </c>
      <c r="E247" t="inlineStr">
        <is>
          <t>HERRLJUNGA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18508-2022</t>
        </is>
      </c>
      <c r="B248" s="1" t="n">
        <v>44686</v>
      </c>
      <c r="C248" s="1" t="n">
        <v>45275</v>
      </c>
      <c r="D248" t="inlineStr">
        <is>
          <t>VÄSTRA GÖTALANDS LÄN</t>
        </is>
      </c>
      <c r="E248" t="inlineStr">
        <is>
          <t>HERRLJUNGA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19056-2022</t>
        </is>
      </c>
      <c r="B249" s="1" t="n">
        <v>44691</v>
      </c>
      <c r="C249" s="1" t="n">
        <v>45275</v>
      </c>
      <c r="D249" t="inlineStr">
        <is>
          <t>VÄSTRA GÖTALANDS LÄN</t>
        </is>
      </c>
      <c r="E249" t="inlineStr">
        <is>
          <t>HERRLJUNGA</t>
        </is>
      </c>
      <c r="G249" t="n">
        <v>4.2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20646-2022</t>
        </is>
      </c>
      <c r="B250" s="1" t="n">
        <v>44700</v>
      </c>
      <c r="C250" s="1" t="n">
        <v>45275</v>
      </c>
      <c r="D250" t="inlineStr">
        <is>
          <t>VÄSTRA GÖTALANDS LÄN</t>
        </is>
      </c>
      <c r="E250" t="inlineStr">
        <is>
          <t>HERRLJUNGA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21160-2022</t>
        </is>
      </c>
      <c r="B251" s="1" t="n">
        <v>44704</v>
      </c>
      <c r="C251" s="1" t="n">
        <v>45275</v>
      </c>
      <c r="D251" t="inlineStr">
        <is>
          <t>VÄSTRA GÖTALANDS LÄN</t>
        </is>
      </c>
      <c r="E251" t="inlineStr">
        <is>
          <t>HERRLJUNGA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23101-2022</t>
        </is>
      </c>
      <c r="B252" s="1" t="n">
        <v>44719</v>
      </c>
      <c r="C252" s="1" t="n">
        <v>45275</v>
      </c>
      <c r="D252" t="inlineStr">
        <is>
          <t>VÄSTRA GÖTALANDS LÄN</t>
        </is>
      </c>
      <c r="E252" t="inlineStr">
        <is>
          <t>HERRLJUNGA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23098-2022</t>
        </is>
      </c>
      <c r="B253" s="1" t="n">
        <v>44719</v>
      </c>
      <c r="C253" s="1" t="n">
        <v>45275</v>
      </c>
      <c r="D253" t="inlineStr">
        <is>
          <t>VÄSTRA GÖTALANDS LÄN</t>
        </is>
      </c>
      <c r="E253" t="inlineStr">
        <is>
          <t>HERRLJUNGA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24050-2022</t>
        </is>
      </c>
      <c r="B254" s="1" t="n">
        <v>44724</v>
      </c>
      <c r="C254" s="1" t="n">
        <v>45275</v>
      </c>
      <c r="D254" t="inlineStr">
        <is>
          <t>VÄSTRA GÖTALANDS LÄN</t>
        </is>
      </c>
      <c r="E254" t="inlineStr">
        <is>
          <t>HERRLJUNGA</t>
        </is>
      </c>
      <c r="G254" t="n">
        <v>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25758-2022</t>
        </is>
      </c>
      <c r="B255" s="1" t="n">
        <v>44733</v>
      </c>
      <c r="C255" s="1" t="n">
        <v>45275</v>
      </c>
      <c r="D255" t="inlineStr">
        <is>
          <t>VÄSTRA GÖTALANDS LÄN</t>
        </is>
      </c>
      <c r="E255" t="inlineStr">
        <is>
          <t>HERRLJUNGA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26173-2022</t>
        </is>
      </c>
      <c r="B256" s="1" t="n">
        <v>44735</v>
      </c>
      <c r="C256" s="1" t="n">
        <v>45275</v>
      </c>
      <c r="D256" t="inlineStr">
        <is>
          <t>VÄSTRA GÖTALANDS LÄN</t>
        </is>
      </c>
      <c r="E256" t="inlineStr">
        <is>
          <t>HERRLJUNGA</t>
        </is>
      </c>
      <c r="F256" t="inlineStr">
        <is>
          <t>Sveaskog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26814-2022</t>
        </is>
      </c>
      <c r="B257" s="1" t="n">
        <v>44740</v>
      </c>
      <c r="C257" s="1" t="n">
        <v>45275</v>
      </c>
      <c r="D257" t="inlineStr">
        <is>
          <t>VÄSTRA GÖTALANDS LÄN</t>
        </is>
      </c>
      <c r="E257" t="inlineStr">
        <is>
          <t>HERRLJUNGA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26816-2022</t>
        </is>
      </c>
      <c r="B258" s="1" t="n">
        <v>44740</v>
      </c>
      <c r="C258" s="1" t="n">
        <v>45275</v>
      </c>
      <c r="D258" t="inlineStr">
        <is>
          <t>VÄSTRA GÖTALANDS LÄN</t>
        </is>
      </c>
      <c r="E258" t="inlineStr">
        <is>
          <t>HERRLJUNGA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27893-2022</t>
        </is>
      </c>
      <c r="B259" s="1" t="n">
        <v>44743</v>
      </c>
      <c r="C259" s="1" t="n">
        <v>45275</v>
      </c>
      <c r="D259" t="inlineStr">
        <is>
          <t>VÄSTRA GÖTALANDS LÄN</t>
        </is>
      </c>
      <c r="E259" t="inlineStr">
        <is>
          <t>HERRLJUNGA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27909-2022</t>
        </is>
      </c>
      <c r="B260" s="1" t="n">
        <v>44743</v>
      </c>
      <c r="C260" s="1" t="n">
        <v>45275</v>
      </c>
      <c r="D260" t="inlineStr">
        <is>
          <t>VÄSTRA GÖTALANDS LÄN</t>
        </is>
      </c>
      <c r="E260" t="inlineStr">
        <is>
          <t>HERRLJUNGA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28550-2022</t>
        </is>
      </c>
      <c r="B261" s="1" t="n">
        <v>44748</v>
      </c>
      <c r="C261" s="1" t="n">
        <v>45275</v>
      </c>
      <c r="D261" t="inlineStr">
        <is>
          <t>VÄSTRA GÖTALANDS LÄN</t>
        </is>
      </c>
      <c r="E261" t="inlineStr">
        <is>
          <t>HERRLJUNGA</t>
        </is>
      </c>
      <c r="G261" t="n">
        <v>0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29672-2022</t>
        </is>
      </c>
      <c r="B262" s="1" t="n">
        <v>44754</v>
      </c>
      <c r="C262" s="1" t="n">
        <v>45275</v>
      </c>
      <c r="D262" t="inlineStr">
        <is>
          <t>VÄSTRA GÖTALANDS LÄN</t>
        </is>
      </c>
      <c r="E262" t="inlineStr">
        <is>
          <t>HERRLJUNGA</t>
        </is>
      </c>
      <c r="G262" t="n">
        <v>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30159-2022</t>
        </is>
      </c>
      <c r="B263" s="1" t="n">
        <v>44757</v>
      </c>
      <c r="C263" s="1" t="n">
        <v>45275</v>
      </c>
      <c r="D263" t="inlineStr">
        <is>
          <t>VÄSTRA GÖTALANDS LÄN</t>
        </is>
      </c>
      <c r="E263" t="inlineStr">
        <is>
          <t>HERRLJUNGA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31598-2022</t>
        </is>
      </c>
      <c r="B264" s="1" t="n">
        <v>44775</v>
      </c>
      <c r="C264" s="1" t="n">
        <v>45275</v>
      </c>
      <c r="D264" t="inlineStr">
        <is>
          <t>VÄSTRA GÖTALANDS LÄN</t>
        </is>
      </c>
      <c r="E264" t="inlineStr">
        <is>
          <t>HERRLJUNGA</t>
        </is>
      </c>
      <c r="G264" t="n">
        <v>5.8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32148-2022</t>
        </is>
      </c>
      <c r="B265" s="1" t="n">
        <v>44780</v>
      </c>
      <c r="C265" s="1" t="n">
        <v>45275</v>
      </c>
      <c r="D265" t="inlineStr">
        <is>
          <t>VÄSTRA GÖTALANDS LÄN</t>
        </is>
      </c>
      <c r="E265" t="inlineStr">
        <is>
          <t>HERRLJUNGA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33921-2022</t>
        </is>
      </c>
      <c r="B266" s="1" t="n">
        <v>44790</v>
      </c>
      <c r="C266" s="1" t="n">
        <v>45275</v>
      </c>
      <c r="D266" t="inlineStr">
        <is>
          <t>VÄSTRA GÖTALANDS LÄN</t>
        </is>
      </c>
      <c r="E266" t="inlineStr">
        <is>
          <t>HERRLJUNGA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33957-2022</t>
        </is>
      </c>
      <c r="B267" s="1" t="n">
        <v>44790</v>
      </c>
      <c r="C267" s="1" t="n">
        <v>45275</v>
      </c>
      <c r="D267" t="inlineStr">
        <is>
          <t>VÄSTRA GÖTALANDS LÄN</t>
        </is>
      </c>
      <c r="E267" t="inlineStr">
        <is>
          <t>HERRLJUNGA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33963-2022</t>
        </is>
      </c>
      <c r="B268" s="1" t="n">
        <v>44790</v>
      </c>
      <c r="C268" s="1" t="n">
        <v>45275</v>
      </c>
      <c r="D268" t="inlineStr">
        <is>
          <t>VÄSTRA GÖTALANDS LÄN</t>
        </is>
      </c>
      <c r="E268" t="inlineStr">
        <is>
          <t>HERRLJUNGA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37910-2022</t>
        </is>
      </c>
      <c r="B269" s="1" t="n">
        <v>44811</v>
      </c>
      <c r="C269" s="1" t="n">
        <v>45275</v>
      </c>
      <c r="D269" t="inlineStr">
        <is>
          <t>VÄSTRA GÖTALANDS LÄN</t>
        </is>
      </c>
      <c r="E269" t="inlineStr">
        <is>
          <t>HERRLJUNGA</t>
        </is>
      </c>
      <c r="G269" t="n">
        <v>4.9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39044-2022</t>
        </is>
      </c>
      <c r="B270" s="1" t="n">
        <v>44817</v>
      </c>
      <c r="C270" s="1" t="n">
        <v>45275</v>
      </c>
      <c r="D270" t="inlineStr">
        <is>
          <t>VÄSTRA GÖTALANDS LÄN</t>
        </is>
      </c>
      <c r="E270" t="inlineStr">
        <is>
          <t>HERRLJUNGA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39457-2022</t>
        </is>
      </c>
      <c r="B271" s="1" t="n">
        <v>44818</v>
      </c>
      <c r="C271" s="1" t="n">
        <v>45275</v>
      </c>
      <c r="D271" t="inlineStr">
        <is>
          <t>VÄSTRA GÖTALANDS LÄN</t>
        </is>
      </c>
      <c r="E271" t="inlineStr">
        <is>
          <t>HERRLJUNGA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42508-2022</t>
        </is>
      </c>
      <c r="B272" s="1" t="n">
        <v>44831</v>
      </c>
      <c r="C272" s="1" t="n">
        <v>45275</v>
      </c>
      <c r="D272" t="inlineStr">
        <is>
          <t>VÄSTRA GÖTALANDS LÄN</t>
        </is>
      </c>
      <c r="E272" t="inlineStr">
        <is>
          <t>HERRLJUNGA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43222-2022</t>
        </is>
      </c>
      <c r="B273" s="1" t="n">
        <v>44834</v>
      </c>
      <c r="C273" s="1" t="n">
        <v>45275</v>
      </c>
      <c r="D273" t="inlineStr">
        <is>
          <t>VÄSTRA GÖTALANDS LÄN</t>
        </is>
      </c>
      <c r="E273" t="inlineStr">
        <is>
          <t>HERRLJUNGA</t>
        </is>
      </c>
      <c r="G273" t="n">
        <v>3.2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43273-2022</t>
        </is>
      </c>
      <c r="B274" s="1" t="n">
        <v>44834</v>
      </c>
      <c r="C274" s="1" t="n">
        <v>45275</v>
      </c>
      <c r="D274" t="inlineStr">
        <is>
          <t>VÄSTRA GÖTALANDS LÄN</t>
        </is>
      </c>
      <c r="E274" t="inlineStr">
        <is>
          <t>HERRLJUNGA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43255-2022</t>
        </is>
      </c>
      <c r="B275" s="1" t="n">
        <v>44834</v>
      </c>
      <c r="C275" s="1" t="n">
        <v>45275</v>
      </c>
      <c r="D275" t="inlineStr">
        <is>
          <t>VÄSTRA GÖTALANDS LÄN</t>
        </is>
      </c>
      <c r="E275" t="inlineStr">
        <is>
          <t>HERRLJUNGA</t>
        </is>
      </c>
      <c r="G275" t="n">
        <v>5.3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43934-2022</t>
        </is>
      </c>
      <c r="B276" s="1" t="n">
        <v>44838</v>
      </c>
      <c r="C276" s="1" t="n">
        <v>45275</v>
      </c>
      <c r="D276" t="inlineStr">
        <is>
          <t>VÄSTRA GÖTALANDS LÄN</t>
        </is>
      </c>
      <c r="E276" t="inlineStr">
        <is>
          <t>HERRLJUNGA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46128-2022</t>
        </is>
      </c>
      <c r="B277" s="1" t="n">
        <v>44847</v>
      </c>
      <c r="C277" s="1" t="n">
        <v>45275</v>
      </c>
      <c r="D277" t="inlineStr">
        <is>
          <t>VÄSTRA GÖTALANDS LÄN</t>
        </is>
      </c>
      <c r="E277" t="inlineStr">
        <is>
          <t>HERRLJUNGA</t>
        </is>
      </c>
      <c r="F277" t="inlineStr">
        <is>
          <t>Sveaskog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46454-2022</t>
        </is>
      </c>
      <c r="B278" s="1" t="n">
        <v>44847</v>
      </c>
      <c r="C278" s="1" t="n">
        <v>45275</v>
      </c>
      <c r="D278" t="inlineStr">
        <is>
          <t>VÄSTRA GÖTALANDS LÄN</t>
        </is>
      </c>
      <c r="E278" t="inlineStr">
        <is>
          <t>HERRLJUNGA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46113-2022</t>
        </is>
      </c>
      <c r="B279" s="1" t="n">
        <v>44847</v>
      </c>
      <c r="C279" s="1" t="n">
        <v>45275</v>
      </c>
      <c r="D279" t="inlineStr">
        <is>
          <t>VÄSTRA GÖTALANDS LÄN</t>
        </is>
      </c>
      <c r="E279" t="inlineStr">
        <is>
          <t>HERRLJUNGA</t>
        </is>
      </c>
      <c r="F279" t="inlineStr">
        <is>
          <t>Sveaskog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46292-2022</t>
        </is>
      </c>
      <c r="B280" s="1" t="n">
        <v>44847</v>
      </c>
      <c r="C280" s="1" t="n">
        <v>45275</v>
      </c>
      <c r="D280" t="inlineStr">
        <is>
          <t>VÄSTRA GÖTALANDS LÄN</t>
        </is>
      </c>
      <c r="E280" t="inlineStr">
        <is>
          <t>HERRLJUNGA</t>
        </is>
      </c>
      <c r="F280" t="inlineStr">
        <is>
          <t>Sveaskog</t>
        </is>
      </c>
      <c r="G280" t="n">
        <v>15.4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48597-2022</t>
        </is>
      </c>
      <c r="B281" s="1" t="n">
        <v>44854</v>
      </c>
      <c r="C281" s="1" t="n">
        <v>45275</v>
      </c>
      <c r="D281" t="inlineStr">
        <is>
          <t>VÄSTRA GÖTALANDS LÄN</t>
        </is>
      </c>
      <c r="E281" t="inlineStr">
        <is>
          <t>HERRLJUNGA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48395-2022</t>
        </is>
      </c>
      <c r="B282" s="1" t="n">
        <v>44858</v>
      </c>
      <c r="C282" s="1" t="n">
        <v>45275</v>
      </c>
      <c r="D282" t="inlineStr">
        <is>
          <t>VÄSTRA GÖTALANDS LÄN</t>
        </is>
      </c>
      <c r="E282" t="inlineStr">
        <is>
          <t>HERRLJUNGA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49106-2022</t>
        </is>
      </c>
      <c r="B283" s="1" t="n">
        <v>44860</v>
      </c>
      <c r="C283" s="1" t="n">
        <v>45275</v>
      </c>
      <c r="D283" t="inlineStr">
        <is>
          <t>VÄSTRA GÖTALANDS LÄN</t>
        </is>
      </c>
      <c r="E283" t="inlineStr">
        <is>
          <t>HERRLJUNGA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50045-2022</t>
        </is>
      </c>
      <c r="B284" s="1" t="n">
        <v>44865</v>
      </c>
      <c r="C284" s="1" t="n">
        <v>45275</v>
      </c>
      <c r="D284" t="inlineStr">
        <is>
          <t>VÄSTRA GÖTALANDS LÄN</t>
        </is>
      </c>
      <c r="E284" t="inlineStr">
        <is>
          <t>HERRLJUNGA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50955-2022</t>
        </is>
      </c>
      <c r="B285" s="1" t="n">
        <v>44866</v>
      </c>
      <c r="C285" s="1" t="n">
        <v>45275</v>
      </c>
      <c r="D285" t="inlineStr">
        <is>
          <t>VÄSTRA GÖTALANDS LÄN</t>
        </is>
      </c>
      <c r="E285" t="inlineStr">
        <is>
          <t>HERRLJUNGA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50727-2022</t>
        </is>
      </c>
      <c r="B286" s="1" t="n">
        <v>44867</v>
      </c>
      <c r="C286" s="1" t="n">
        <v>45275</v>
      </c>
      <c r="D286" t="inlineStr">
        <is>
          <t>VÄSTRA GÖTALANDS LÄN</t>
        </is>
      </c>
      <c r="E286" t="inlineStr">
        <is>
          <t>HERRLJUNGA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51197-2022</t>
        </is>
      </c>
      <c r="B287" s="1" t="n">
        <v>44868</v>
      </c>
      <c r="C287" s="1" t="n">
        <v>45275</v>
      </c>
      <c r="D287" t="inlineStr">
        <is>
          <t>VÄSTRA GÖTALANDS LÄN</t>
        </is>
      </c>
      <c r="E287" t="inlineStr">
        <is>
          <t>HERRLJUNGA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53261-2022</t>
        </is>
      </c>
      <c r="B288" s="1" t="n">
        <v>44876</v>
      </c>
      <c r="C288" s="1" t="n">
        <v>45275</v>
      </c>
      <c r="D288" t="inlineStr">
        <is>
          <t>VÄSTRA GÖTALANDS LÄN</t>
        </is>
      </c>
      <c r="E288" t="inlineStr">
        <is>
          <t>HERRLJUNGA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54377-2022</t>
        </is>
      </c>
      <c r="B289" s="1" t="n">
        <v>44882</v>
      </c>
      <c r="C289" s="1" t="n">
        <v>45275</v>
      </c>
      <c r="D289" t="inlineStr">
        <is>
          <t>VÄSTRA GÖTALANDS LÄN</t>
        </is>
      </c>
      <c r="E289" t="inlineStr">
        <is>
          <t>HERRLJUNGA</t>
        </is>
      </c>
      <c r="G289" t="n">
        <v>5.9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55450-2022</t>
        </is>
      </c>
      <c r="B290" s="1" t="n">
        <v>44887</v>
      </c>
      <c r="C290" s="1" t="n">
        <v>45275</v>
      </c>
      <c r="D290" t="inlineStr">
        <is>
          <t>VÄSTRA GÖTALANDS LÄN</t>
        </is>
      </c>
      <c r="E290" t="inlineStr">
        <is>
          <t>HERRLJUNGA</t>
        </is>
      </c>
      <c r="G290" t="n">
        <v>5.4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56355-2022</t>
        </is>
      </c>
      <c r="B291" s="1" t="n">
        <v>44890</v>
      </c>
      <c r="C291" s="1" t="n">
        <v>45275</v>
      </c>
      <c r="D291" t="inlineStr">
        <is>
          <t>VÄSTRA GÖTALANDS LÄN</t>
        </is>
      </c>
      <c r="E291" t="inlineStr">
        <is>
          <t>HERRLJUNGA</t>
        </is>
      </c>
      <c r="G291" t="n">
        <v>7.8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56357-2022</t>
        </is>
      </c>
      <c r="B292" s="1" t="n">
        <v>44890</v>
      </c>
      <c r="C292" s="1" t="n">
        <v>45275</v>
      </c>
      <c r="D292" t="inlineStr">
        <is>
          <t>VÄSTRA GÖTALANDS LÄN</t>
        </is>
      </c>
      <c r="E292" t="inlineStr">
        <is>
          <t>HERRLJUNGA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56500-2022</t>
        </is>
      </c>
      <c r="B293" s="1" t="n">
        <v>44893</v>
      </c>
      <c r="C293" s="1" t="n">
        <v>45275</v>
      </c>
      <c r="D293" t="inlineStr">
        <is>
          <t>VÄSTRA GÖTALANDS LÄN</t>
        </is>
      </c>
      <c r="E293" t="inlineStr">
        <is>
          <t>HERRLJUNGA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58703-2022</t>
        </is>
      </c>
      <c r="B294" s="1" t="n">
        <v>44895</v>
      </c>
      <c r="C294" s="1" t="n">
        <v>45275</v>
      </c>
      <c r="D294" t="inlineStr">
        <is>
          <t>VÄSTRA GÖTALANDS LÄN</t>
        </is>
      </c>
      <c r="E294" t="inlineStr">
        <is>
          <t>HERRLJUNGA</t>
        </is>
      </c>
      <c r="G294" t="n">
        <v>5.2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57959-2022</t>
        </is>
      </c>
      <c r="B295" s="1" t="n">
        <v>44900</v>
      </c>
      <c r="C295" s="1" t="n">
        <v>45275</v>
      </c>
      <c r="D295" t="inlineStr">
        <is>
          <t>VÄSTRA GÖTALANDS LÄN</t>
        </is>
      </c>
      <c r="E295" t="inlineStr">
        <is>
          <t>HERRLJUNGA</t>
        </is>
      </c>
      <c r="G295" t="n">
        <v>4.8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57961-2022</t>
        </is>
      </c>
      <c r="B296" s="1" t="n">
        <v>44900</v>
      </c>
      <c r="C296" s="1" t="n">
        <v>45275</v>
      </c>
      <c r="D296" t="inlineStr">
        <is>
          <t>VÄSTRA GÖTALANDS LÄN</t>
        </is>
      </c>
      <c r="E296" t="inlineStr">
        <is>
          <t>HERRLJUNGA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57963-2022</t>
        </is>
      </c>
      <c r="B297" s="1" t="n">
        <v>44900</v>
      </c>
      <c r="C297" s="1" t="n">
        <v>45275</v>
      </c>
      <c r="D297" t="inlineStr">
        <is>
          <t>VÄSTRA GÖTALANDS LÄN</t>
        </is>
      </c>
      <c r="E297" t="inlineStr">
        <is>
          <t>HERRLJUNGA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58322-2022</t>
        </is>
      </c>
      <c r="B298" s="1" t="n">
        <v>44901</v>
      </c>
      <c r="C298" s="1" t="n">
        <v>45275</v>
      </c>
      <c r="D298" t="inlineStr">
        <is>
          <t>VÄSTRA GÖTALANDS LÄN</t>
        </is>
      </c>
      <c r="E298" t="inlineStr">
        <is>
          <t>HERRLJUNGA</t>
        </is>
      </c>
      <c r="G298" t="n">
        <v>5.1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60509-2022</t>
        </is>
      </c>
      <c r="B299" s="1" t="n">
        <v>44904</v>
      </c>
      <c r="C299" s="1" t="n">
        <v>45275</v>
      </c>
      <c r="D299" t="inlineStr">
        <is>
          <t>VÄSTRA GÖTALANDS LÄN</t>
        </is>
      </c>
      <c r="E299" t="inlineStr">
        <is>
          <t>HERRLJUNGA</t>
        </is>
      </c>
      <c r="F299" t="inlineStr">
        <is>
          <t>Övriga statliga verk och myndigheter</t>
        </is>
      </c>
      <c r="G299" t="n">
        <v>4.8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60583-2022</t>
        </is>
      </c>
      <c r="B300" s="1" t="n">
        <v>44904</v>
      </c>
      <c r="C300" s="1" t="n">
        <v>45275</v>
      </c>
      <c r="D300" t="inlineStr">
        <is>
          <t>VÄSTRA GÖTALANDS LÄN</t>
        </is>
      </c>
      <c r="E300" t="inlineStr">
        <is>
          <t>HERRLJUNGA</t>
        </is>
      </c>
      <c r="F300" t="inlineStr">
        <is>
          <t>Övriga statliga verk och myndigheter</t>
        </is>
      </c>
      <c r="G300" t="n">
        <v>9.800000000000001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59535-2022</t>
        </is>
      </c>
      <c r="B301" s="1" t="n">
        <v>44907</v>
      </c>
      <c r="C301" s="1" t="n">
        <v>45275</v>
      </c>
      <c r="D301" t="inlineStr">
        <is>
          <t>VÄSTRA GÖTALANDS LÄN</t>
        </is>
      </c>
      <c r="E301" t="inlineStr">
        <is>
          <t>HERRLJUNGA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60743-2022</t>
        </is>
      </c>
      <c r="B302" s="1" t="n">
        <v>44914</v>
      </c>
      <c r="C302" s="1" t="n">
        <v>45275</v>
      </c>
      <c r="D302" t="inlineStr">
        <is>
          <t>VÄSTRA GÖTALANDS LÄN</t>
        </is>
      </c>
      <c r="E302" t="inlineStr">
        <is>
          <t>HERRLJUNGA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61769-2022</t>
        </is>
      </c>
      <c r="B303" s="1" t="n">
        <v>44917</v>
      </c>
      <c r="C303" s="1" t="n">
        <v>45275</v>
      </c>
      <c r="D303" t="inlineStr">
        <is>
          <t>VÄSTRA GÖTALANDS LÄN</t>
        </is>
      </c>
      <c r="E303" t="inlineStr">
        <is>
          <t>HERRLJUNGA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61770-2022</t>
        </is>
      </c>
      <c r="B304" s="1" t="n">
        <v>44917</v>
      </c>
      <c r="C304" s="1" t="n">
        <v>45275</v>
      </c>
      <c r="D304" t="inlineStr">
        <is>
          <t>VÄSTRA GÖTALANDS LÄN</t>
        </is>
      </c>
      <c r="E304" t="inlineStr">
        <is>
          <t>HERRLJUNGA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61766-2022</t>
        </is>
      </c>
      <c r="B305" s="1" t="n">
        <v>44917</v>
      </c>
      <c r="C305" s="1" t="n">
        <v>45275</v>
      </c>
      <c r="D305" t="inlineStr">
        <is>
          <t>VÄSTRA GÖTALANDS LÄN</t>
        </is>
      </c>
      <c r="E305" t="inlineStr">
        <is>
          <t>HERRLJUNGA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62015-2022</t>
        </is>
      </c>
      <c r="B306" s="1" t="n">
        <v>44918</v>
      </c>
      <c r="C306" s="1" t="n">
        <v>45275</v>
      </c>
      <c r="D306" t="inlineStr">
        <is>
          <t>VÄSTRA GÖTALANDS LÄN</t>
        </is>
      </c>
      <c r="E306" t="inlineStr">
        <is>
          <t>HERRLJUNGA</t>
        </is>
      </c>
      <c r="G306" t="n">
        <v>4.9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681-2023</t>
        </is>
      </c>
      <c r="B307" s="1" t="n">
        <v>44925</v>
      </c>
      <c r="C307" s="1" t="n">
        <v>45275</v>
      </c>
      <c r="D307" t="inlineStr">
        <is>
          <t>VÄSTRA GÖTALANDS LÄN</t>
        </is>
      </c>
      <c r="E307" t="inlineStr">
        <is>
          <t>HERRLJUNGA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760-2023</t>
        </is>
      </c>
      <c r="B308" s="1" t="n">
        <v>44931</v>
      </c>
      <c r="C308" s="1" t="n">
        <v>45275</v>
      </c>
      <c r="D308" t="inlineStr">
        <is>
          <t>VÄSTRA GÖTALANDS LÄN</t>
        </is>
      </c>
      <c r="E308" t="inlineStr">
        <is>
          <t>HERRLJUNGA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2202-2023</t>
        </is>
      </c>
      <c r="B309" s="1" t="n">
        <v>44942</v>
      </c>
      <c r="C309" s="1" t="n">
        <v>45275</v>
      </c>
      <c r="D309" t="inlineStr">
        <is>
          <t>VÄSTRA GÖTALANDS LÄN</t>
        </is>
      </c>
      <c r="E309" t="inlineStr">
        <is>
          <t>HERRLJUNGA</t>
        </is>
      </c>
      <c r="G309" t="n">
        <v>4.4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2204-2023</t>
        </is>
      </c>
      <c r="B310" s="1" t="n">
        <v>44942</v>
      </c>
      <c r="C310" s="1" t="n">
        <v>45275</v>
      </c>
      <c r="D310" t="inlineStr">
        <is>
          <t>VÄSTRA GÖTALANDS LÄN</t>
        </is>
      </c>
      <c r="E310" t="inlineStr">
        <is>
          <t>HERRLJUNGA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3613-2023</t>
        </is>
      </c>
      <c r="B311" s="1" t="n">
        <v>44950</v>
      </c>
      <c r="C311" s="1" t="n">
        <v>45275</v>
      </c>
      <c r="D311" t="inlineStr">
        <is>
          <t>VÄSTRA GÖTALANDS LÄN</t>
        </is>
      </c>
      <c r="E311" t="inlineStr">
        <is>
          <t>HERRLJUNGA</t>
        </is>
      </c>
      <c r="G311" t="n">
        <v>5.2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3664-2023</t>
        </is>
      </c>
      <c r="B312" s="1" t="n">
        <v>44950</v>
      </c>
      <c r="C312" s="1" t="n">
        <v>45275</v>
      </c>
      <c r="D312" t="inlineStr">
        <is>
          <t>VÄSTRA GÖTALANDS LÄN</t>
        </is>
      </c>
      <c r="E312" t="inlineStr">
        <is>
          <t>HERRLJUNGA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4020-2023</t>
        </is>
      </c>
      <c r="B313" s="1" t="n">
        <v>44952</v>
      </c>
      <c r="C313" s="1" t="n">
        <v>45275</v>
      </c>
      <c r="D313" t="inlineStr">
        <is>
          <t>VÄSTRA GÖTALANDS LÄN</t>
        </is>
      </c>
      <c r="E313" t="inlineStr">
        <is>
          <t>HERRLJUNGA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5002-2023</t>
        </is>
      </c>
      <c r="B314" s="1" t="n">
        <v>44958</v>
      </c>
      <c r="C314" s="1" t="n">
        <v>45275</v>
      </c>
      <c r="D314" t="inlineStr">
        <is>
          <t>VÄSTRA GÖTALANDS LÄN</t>
        </is>
      </c>
      <c r="E314" t="inlineStr">
        <is>
          <t>HERRLJUNGA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5471-2023</t>
        </is>
      </c>
      <c r="B315" s="1" t="n">
        <v>44960</v>
      </c>
      <c r="C315" s="1" t="n">
        <v>45275</v>
      </c>
      <c r="D315" t="inlineStr">
        <is>
          <t>VÄSTRA GÖTALANDS LÄN</t>
        </is>
      </c>
      <c r="E315" t="inlineStr">
        <is>
          <t>HERRLJUNGA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6751-2023</t>
        </is>
      </c>
      <c r="B316" s="1" t="n">
        <v>44966</v>
      </c>
      <c r="C316" s="1" t="n">
        <v>45275</v>
      </c>
      <c r="D316" t="inlineStr">
        <is>
          <t>VÄSTRA GÖTALANDS LÄN</t>
        </is>
      </c>
      <c r="E316" t="inlineStr">
        <is>
          <t>HERRLJUNGA</t>
        </is>
      </c>
      <c r="G316" t="n">
        <v>7.8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8349-2023</t>
        </is>
      </c>
      <c r="B317" s="1" t="n">
        <v>44977</v>
      </c>
      <c r="C317" s="1" t="n">
        <v>45275</v>
      </c>
      <c r="D317" t="inlineStr">
        <is>
          <t>VÄSTRA GÖTALANDS LÄN</t>
        </is>
      </c>
      <c r="E317" t="inlineStr">
        <is>
          <t>HERRLJUNGA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8685-2023</t>
        </is>
      </c>
      <c r="B318" s="1" t="n">
        <v>44978</v>
      </c>
      <c r="C318" s="1" t="n">
        <v>45275</v>
      </c>
      <c r="D318" t="inlineStr">
        <is>
          <t>VÄSTRA GÖTALANDS LÄN</t>
        </is>
      </c>
      <c r="E318" t="inlineStr">
        <is>
          <t>HERRLJUNGA</t>
        </is>
      </c>
      <c r="F318" t="inlineStr">
        <is>
          <t>Sveaskog</t>
        </is>
      </c>
      <c r="G318" t="n">
        <v>4.5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8704-2023</t>
        </is>
      </c>
      <c r="B319" s="1" t="n">
        <v>44978</v>
      </c>
      <c r="C319" s="1" t="n">
        <v>45275</v>
      </c>
      <c r="D319" t="inlineStr">
        <is>
          <t>VÄSTRA GÖTALANDS LÄN</t>
        </is>
      </c>
      <c r="E319" t="inlineStr">
        <is>
          <t>HERRLJUNGA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9131-2023</t>
        </is>
      </c>
      <c r="B320" s="1" t="n">
        <v>44980</v>
      </c>
      <c r="C320" s="1" t="n">
        <v>45275</v>
      </c>
      <c r="D320" t="inlineStr">
        <is>
          <t>VÄSTRA GÖTALANDS LÄN</t>
        </is>
      </c>
      <c r="E320" t="inlineStr">
        <is>
          <t>HERRLJUNGA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9834-2023</t>
        </is>
      </c>
      <c r="B321" s="1" t="n">
        <v>44984</v>
      </c>
      <c r="C321" s="1" t="n">
        <v>45275</v>
      </c>
      <c r="D321" t="inlineStr">
        <is>
          <t>VÄSTRA GÖTALANDS LÄN</t>
        </is>
      </c>
      <c r="E321" t="inlineStr">
        <is>
          <t>HERRLJUNGA</t>
        </is>
      </c>
      <c r="G321" t="n">
        <v>3.8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9717-2023</t>
        </is>
      </c>
      <c r="B322" s="1" t="n">
        <v>44984</v>
      </c>
      <c r="C322" s="1" t="n">
        <v>45275</v>
      </c>
      <c r="D322" t="inlineStr">
        <is>
          <t>VÄSTRA GÖTALANDS LÄN</t>
        </is>
      </c>
      <c r="E322" t="inlineStr">
        <is>
          <t>HERRLJUNGA</t>
        </is>
      </c>
      <c r="F322" t="inlineStr">
        <is>
          <t>Kyrkan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11881-2023</t>
        </is>
      </c>
      <c r="B323" s="1" t="n">
        <v>44995</v>
      </c>
      <c r="C323" s="1" t="n">
        <v>45275</v>
      </c>
      <c r="D323" t="inlineStr">
        <is>
          <t>VÄSTRA GÖTALANDS LÄN</t>
        </is>
      </c>
      <c r="E323" t="inlineStr">
        <is>
          <t>HERRLJUNGA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11879-2023</t>
        </is>
      </c>
      <c r="B324" s="1" t="n">
        <v>44995</v>
      </c>
      <c r="C324" s="1" t="n">
        <v>45275</v>
      </c>
      <c r="D324" t="inlineStr">
        <is>
          <t>VÄSTRA GÖTALANDS LÄN</t>
        </is>
      </c>
      <c r="E324" t="inlineStr">
        <is>
          <t>HERRLJUNGA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13040-2023</t>
        </is>
      </c>
      <c r="B325" s="1" t="n">
        <v>45002</v>
      </c>
      <c r="C325" s="1" t="n">
        <v>45275</v>
      </c>
      <c r="D325" t="inlineStr">
        <is>
          <t>VÄSTRA GÖTALANDS LÄN</t>
        </is>
      </c>
      <c r="E325" t="inlineStr">
        <is>
          <t>HERRLJUNGA</t>
        </is>
      </c>
      <c r="F325" t="inlineStr">
        <is>
          <t>Sveaskog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13283-2023</t>
        </is>
      </c>
      <c r="B326" s="1" t="n">
        <v>45004</v>
      </c>
      <c r="C326" s="1" t="n">
        <v>45275</v>
      </c>
      <c r="D326" t="inlineStr">
        <is>
          <t>VÄSTRA GÖTALANDS LÄN</t>
        </is>
      </c>
      <c r="E326" t="inlineStr">
        <is>
          <t>HERRLJUNGA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13298-2023</t>
        </is>
      </c>
      <c r="B327" s="1" t="n">
        <v>45005</v>
      </c>
      <c r="C327" s="1" t="n">
        <v>45275</v>
      </c>
      <c r="D327" t="inlineStr">
        <is>
          <t>VÄSTRA GÖTALANDS LÄN</t>
        </is>
      </c>
      <c r="E327" t="inlineStr">
        <is>
          <t>HERRLJUNGA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13297-2023</t>
        </is>
      </c>
      <c r="B328" s="1" t="n">
        <v>45005</v>
      </c>
      <c r="C328" s="1" t="n">
        <v>45275</v>
      </c>
      <c r="D328" t="inlineStr">
        <is>
          <t>VÄSTRA GÖTALANDS LÄN</t>
        </is>
      </c>
      <c r="E328" t="inlineStr">
        <is>
          <t>HERRLJUNGA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13301-2023</t>
        </is>
      </c>
      <c r="B329" s="1" t="n">
        <v>45005</v>
      </c>
      <c r="C329" s="1" t="n">
        <v>45275</v>
      </c>
      <c r="D329" t="inlineStr">
        <is>
          <t>VÄSTRA GÖTALANDS LÄN</t>
        </is>
      </c>
      <c r="E329" t="inlineStr">
        <is>
          <t>HERRLJUNGA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13403-2023</t>
        </is>
      </c>
      <c r="B330" s="1" t="n">
        <v>45005</v>
      </c>
      <c r="C330" s="1" t="n">
        <v>45275</v>
      </c>
      <c r="D330" t="inlineStr">
        <is>
          <t>VÄSTRA GÖTALANDS LÄN</t>
        </is>
      </c>
      <c r="E330" t="inlineStr">
        <is>
          <t>HERRLJUNGA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13307-2023</t>
        </is>
      </c>
      <c r="B331" s="1" t="n">
        <v>45005</v>
      </c>
      <c r="C331" s="1" t="n">
        <v>45275</v>
      </c>
      <c r="D331" t="inlineStr">
        <is>
          <t>VÄSTRA GÖTALANDS LÄN</t>
        </is>
      </c>
      <c r="E331" t="inlineStr">
        <is>
          <t>HERRLJUNGA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13308-2023</t>
        </is>
      </c>
      <c r="B332" s="1" t="n">
        <v>45005</v>
      </c>
      <c r="C332" s="1" t="n">
        <v>45275</v>
      </c>
      <c r="D332" t="inlineStr">
        <is>
          <t>VÄSTRA GÖTALANDS LÄN</t>
        </is>
      </c>
      <c r="E332" t="inlineStr">
        <is>
          <t>HERRLJUNGA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14167-2023</t>
        </is>
      </c>
      <c r="B333" s="1" t="n">
        <v>45009</v>
      </c>
      <c r="C333" s="1" t="n">
        <v>45275</v>
      </c>
      <c r="D333" t="inlineStr">
        <is>
          <t>VÄSTRA GÖTALANDS LÄN</t>
        </is>
      </c>
      <c r="E333" t="inlineStr">
        <is>
          <t>HERRLJUNGA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14168-2023</t>
        </is>
      </c>
      <c r="B334" s="1" t="n">
        <v>45009</v>
      </c>
      <c r="C334" s="1" t="n">
        <v>45275</v>
      </c>
      <c r="D334" t="inlineStr">
        <is>
          <t>VÄSTRA GÖTALANDS LÄN</t>
        </is>
      </c>
      <c r="E334" t="inlineStr">
        <is>
          <t>HERRLJUNGA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15086-2023</t>
        </is>
      </c>
      <c r="B335" s="1" t="n">
        <v>45016</v>
      </c>
      <c r="C335" s="1" t="n">
        <v>45275</v>
      </c>
      <c r="D335" t="inlineStr">
        <is>
          <t>VÄSTRA GÖTALANDS LÄN</t>
        </is>
      </c>
      <c r="E335" t="inlineStr">
        <is>
          <t>HERRLJUNGA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15192-2023</t>
        </is>
      </c>
      <c r="B336" s="1" t="n">
        <v>45016</v>
      </c>
      <c r="C336" s="1" t="n">
        <v>45275</v>
      </c>
      <c r="D336" t="inlineStr">
        <is>
          <t>VÄSTRA GÖTALANDS LÄN</t>
        </is>
      </c>
      <c r="E336" t="inlineStr">
        <is>
          <t>HERRLJUNGA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15215-2023</t>
        </is>
      </c>
      <c r="B337" s="1" t="n">
        <v>45019</v>
      </c>
      <c r="C337" s="1" t="n">
        <v>45275</v>
      </c>
      <c r="D337" t="inlineStr">
        <is>
          <t>VÄSTRA GÖTALANDS LÄN</t>
        </is>
      </c>
      <c r="E337" t="inlineStr">
        <is>
          <t>HERRLJUNGA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15645-2023</t>
        </is>
      </c>
      <c r="B338" s="1" t="n">
        <v>45021</v>
      </c>
      <c r="C338" s="1" t="n">
        <v>45275</v>
      </c>
      <c r="D338" t="inlineStr">
        <is>
          <t>VÄSTRA GÖTALANDS LÄN</t>
        </is>
      </c>
      <c r="E338" t="inlineStr">
        <is>
          <t>HERRLJUNGA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15800-2023</t>
        </is>
      </c>
      <c r="B339" s="1" t="n">
        <v>45021</v>
      </c>
      <c r="C339" s="1" t="n">
        <v>45275</v>
      </c>
      <c r="D339" t="inlineStr">
        <is>
          <t>VÄSTRA GÖTALANDS LÄN</t>
        </is>
      </c>
      <c r="E339" t="inlineStr">
        <is>
          <t>HERRLJUNGA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15801-2023</t>
        </is>
      </c>
      <c r="B340" s="1" t="n">
        <v>45021</v>
      </c>
      <c r="C340" s="1" t="n">
        <v>45275</v>
      </c>
      <c r="D340" t="inlineStr">
        <is>
          <t>VÄSTRA GÖTALANDS LÄN</t>
        </is>
      </c>
      <c r="E340" t="inlineStr">
        <is>
          <t>HERRLJUNGA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15953-2023</t>
        </is>
      </c>
      <c r="B341" s="1" t="n">
        <v>45022</v>
      </c>
      <c r="C341" s="1" t="n">
        <v>45275</v>
      </c>
      <c r="D341" t="inlineStr">
        <is>
          <t>VÄSTRA GÖTALANDS LÄN</t>
        </is>
      </c>
      <c r="E341" t="inlineStr">
        <is>
          <t>HERRLJUNGA</t>
        </is>
      </c>
      <c r="F341" t="inlineStr">
        <is>
          <t>Sveaskog</t>
        </is>
      </c>
      <c r="G341" t="n">
        <v>11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16019-2023</t>
        </is>
      </c>
      <c r="B342" s="1" t="n">
        <v>45026</v>
      </c>
      <c r="C342" s="1" t="n">
        <v>45275</v>
      </c>
      <c r="D342" t="inlineStr">
        <is>
          <t>VÄSTRA GÖTALANDS LÄN</t>
        </is>
      </c>
      <c r="E342" t="inlineStr">
        <is>
          <t>HERRLJUNGA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16021-2023</t>
        </is>
      </c>
      <c r="B343" s="1" t="n">
        <v>45026</v>
      </c>
      <c r="C343" s="1" t="n">
        <v>45275</v>
      </c>
      <c r="D343" t="inlineStr">
        <is>
          <t>VÄSTRA GÖTALANDS LÄN</t>
        </is>
      </c>
      <c r="E343" t="inlineStr">
        <is>
          <t>HERRLJUNGA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16605-2023</t>
        </is>
      </c>
      <c r="B344" s="1" t="n">
        <v>45030</v>
      </c>
      <c r="C344" s="1" t="n">
        <v>45275</v>
      </c>
      <c r="D344" t="inlineStr">
        <is>
          <t>VÄSTRA GÖTALANDS LÄN</t>
        </is>
      </c>
      <c r="E344" t="inlineStr">
        <is>
          <t>HERRLJUNGA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17933-2023</t>
        </is>
      </c>
      <c r="B345" s="1" t="n">
        <v>45040</v>
      </c>
      <c r="C345" s="1" t="n">
        <v>45275</v>
      </c>
      <c r="D345" t="inlineStr">
        <is>
          <t>VÄSTRA GÖTALANDS LÄN</t>
        </is>
      </c>
      <c r="E345" t="inlineStr">
        <is>
          <t>HERRLJUNGA</t>
        </is>
      </c>
      <c r="G345" t="n">
        <v>7.2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18871-2023</t>
        </is>
      </c>
      <c r="B346" s="1" t="n">
        <v>45044</v>
      </c>
      <c r="C346" s="1" t="n">
        <v>45275</v>
      </c>
      <c r="D346" t="inlineStr">
        <is>
          <t>VÄSTRA GÖTALANDS LÄN</t>
        </is>
      </c>
      <c r="E346" t="inlineStr">
        <is>
          <t>HERRLJUNGA</t>
        </is>
      </c>
      <c r="F346" t="inlineStr">
        <is>
          <t>Sveaskog</t>
        </is>
      </c>
      <c r="G346" t="n">
        <v>22.6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19802-2023</t>
        </is>
      </c>
      <c r="B347" s="1" t="n">
        <v>45051</v>
      </c>
      <c r="C347" s="1" t="n">
        <v>45275</v>
      </c>
      <c r="D347" t="inlineStr">
        <is>
          <t>VÄSTRA GÖTALANDS LÄN</t>
        </is>
      </c>
      <c r="E347" t="inlineStr">
        <is>
          <t>HERRLJUNGA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21875-2023</t>
        </is>
      </c>
      <c r="B348" s="1" t="n">
        <v>45068</v>
      </c>
      <c r="C348" s="1" t="n">
        <v>45275</v>
      </c>
      <c r="D348" t="inlineStr">
        <is>
          <t>VÄSTRA GÖTALANDS LÄN</t>
        </is>
      </c>
      <c r="E348" t="inlineStr">
        <is>
          <t>HERRLJUNGA</t>
        </is>
      </c>
      <c r="F348" t="inlineStr">
        <is>
          <t>Sveaskog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22884-2023</t>
        </is>
      </c>
      <c r="B349" s="1" t="n">
        <v>45072</v>
      </c>
      <c r="C349" s="1" t="n">
        <v>45275</v>
      </c>
      <c r="D349" t="inlineStr">
        <is>
          <t>VÄSTRA GÖTALANDS LÄN</t>
        </is>
      </c>
      <c r="E349" t="inlineStr">
        <is>
          <t>HERRLJUNGA</t>
        </is>
      </c>
      <c r="G349" t="n">
        <v>9.300000000000001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22871-2023</t>
        </is>
      </c>
      <c r="B350" s="1" t="n">
        <v>45072</v>
      </c>
      <c r="C350" s="1" t="n">
        <v>45275</v>
      </c>
      <c r="D350" t="inlineStr">
        <is>
          <t>VÄSTRA GÖTALANDS LÄN</t>
        </is>
      </c>
      <c r="E350" t="inlineStr">
        <is>
          <t>HERRLJUNGA</t>
        </is>
      </c>
      <c r="F350" t="inlineStr">
        <is>
          <t>Sveaskog</t>
        </is>
      </c>
      <c r="G350" t="n">
        <v>7.6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22880-2023</t>
        </is>
      </c>
      <c r="B351" s="1" t="n">
        <v>45072</v>
      </c>
      <c r="C351" s="1" t="n">
        <v>45275</v>
      </c>
      <c r="D351" t="inlineStr">
        <is>
          <t>VÄSTRA GÖTALANDS LÄN</t>
        </is>
      </c>
      <c r="E351" t="inlineStr">
        <is>
          <t>HERRLJUNGA</t>
        </is>
      </c>
      <c r="F351" t="inlineStr">
        <is>
          <t>Sveaskog</t>
        </is>
      </c>
      <c r="G351" t="n">
        <v>10.2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23551-2023</t>
        </is>
      </c>
      <c r="B352" s="1" t="n">
        <v>45077</v>
      </c>
      <c r="C352" s="1" t="n">
        <v>45275</v>
      </c>
      <c r="D352" t="inlineStr">
        <is>
          <t>VÄSTRA GÖTALANDS LÄN</t>
        </is>
      </c>
      <c r="E352" t="inlineStr">
        <is>
          <t>HERRLJUNGA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24475-2023</t>
        </is>
      </c>
      <c r="B353" s="1" t="n">
        <v>45082</v>
      </c>
      <c r="C353" s="1" t="n">
        <v>45275</v>
      </c>
      <c r="D353" t="inlineStr">
        <is>
          <t>VÄSTRA GÖTALANDS LÄN</t>
        </is>
      </c>
      <c r="E353" t="inlineStr">
        <is>
          <t>HERRLJUNGA</t>
        </is>
      </c>
      <c r="F353" t="inlineStr">
        <is>
          <t>Sveaskog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24494-2023</t>
        </is>
      </c>
      <c r="B354" s="1" t="n">
        <v>45082</v>
      </c>
      <c r="C354" s="1" t="n">
        <v>45275</v>
      </c>
      <c r="D354" t="inlineStr">
        <is>
          <t>VÄSTRA GÖTALANDS LÄN</t>
        </is>
      </c>
      <c r="E354" t="inlineStr">
        <is>
          <t>HERRLJUNGA</t>
        </is>
      </c>
      <c r="F354" t="inlineStr">
        <is>
          <t>Sveaskog</t>
        </is>
      </c>
      <c r="G354" t="n">
        <v>6.8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24811-2023</t>
        </is>
      </c>
      <c r="B355" s="1" t="n">
        <v>45084</v>
      </c>
      <c r="C355" s="1" t="n">
        <v>45275</v>
      </c>
      <c r="D355" t="inlineStr">
        <is>
          <t>VÄSTRA GÖTALANDS LÄN</t>
        </is>
      </c>
      <c r="E355" t="inlineStr">
        <is>
          <t>HERRLJUNGA</t>
        </is>
      </c>
      <c r="G355" t="n">
        <v>3.1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24950-2023</t>
        </is>
      </c>
      <c r="B356" s="1" t="n">
        <v>45085</v>
      </c>
      <c r="C356" s="1" t="n">
        <v>45275</v>
      </c>
      <c r="D356" t="inlineStr">
        <is>
          <t>VÄSTRA GÖTALANDS LÄN</t>
        </is>
      </c>
      <c r="E356" t="inlineStr">
        <is>
          <t>HERRLJUNGA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25147-2023</t>
        </is>
      </c>
      <c r="B357" s="1" t="n">
        <v>45086</v>
      </c>
      <c r="C357" s="1" t="n">
        <v>45275</v>
      </c>
      <c r="D357" t="inlineStr">
        <is>
          <t>VÄSTRA GÖTALANDS LÄN</t>
        </is>
      </c>
      <c r="E357" t="inlineStr">
        <is>
          <t>HERRLJUNGA</t>
        </is>
      </c>
      <c r="G357" t="n">
        <v>5.3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25504-2023</t>
        </is>
      </c>
      <c r="B358" s="1" t="n">
        <v>45089</v>
      </c>
      <c r="C358" s="1" t="n">
        <v>45275</v>
      </c>
      <c r="D358" t="inlineStr">
        <is>
          <t>VÄSTRA GÖTALANDS LÄN</t>
        </is>
      </c>
      <c r="E358" t="inlineStr">
        <is>
          <t>HERRLJUNGA</t>
        </is>
      </c>
      <c r="G358" t="n">
        <v>6.5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26434-2023</t>
        </is>
      </c>
      <c r="B359" s="1" t="n">
        <v>45092</v>
      </c>
      <c r="C359" s="1" t="n">
        <v>45275</v>
      </c>
      <c r="D359" t="inlineStr">
        <is>
          <t>VÄSTRA GÖTALANDS LÄN</t>
        </is>
      </c>
      <c r="E359" t="inlineStr">
        <is>
          <t>HERRLJUNGA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26877-2023</t>
        </is>
      </c>
      <c r="B360" s="1" t="n">
        <v>45093</v>
      </c>
      <c r="C360" s="1" t="n">
        <v>45275</v>
      </c>
      <c r="D360" t="inlineStr">
        <is>
          <t>VÄSTRA GÖTALANDS LÄN</t>
        </is>
      </c>
      <c r="E360" t="inlineStr">
        <is>
          <t>HERRLJUNGA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27976-2023</t>
        </is>
      </c>
      <c r="B361" s="1" t="n">
        <v>45098</v>
      </c>
      <c r="C361" s="1" t="n">
        <v>45275</v>
      </c>
      <c r="D361" t="inlineStr">
        <is>
          <t>VÄSTRA GÖTALANDS LÄN</t>
        </is>
      </c>
      <c r="E361" t="inlineStr">
        <is>
          <t>HERRLJUNGA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27968-2023</t>
        </is>
      </c>
      <c r="B362" s="1" t="n">
        <v>45098</v>
      </c>
      <c r="C362" s="1" t="n">
        <v>45275</v>
      </c>
      <c r="D362" t="inlineStr">
        <is>
          <t>VÄSTRA GÖTALANDS LÄN</t>
        </is>
      </c>
      <c r="E362" t="inlineStr">
        <is>
          <t>HERRLJUNGA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28255-2023</t>
        </is>
      </c>
      <c r="B363" s="1" t="n">
        <v>45099</v>
      </c>
      <c r="C363" s="1" t="n">
        <v>45275</v>
      </c>
      <c r="D363" t="inlineStr">
        <is>
          <t>VÄSTRA GÖTALANDS LÄN</t>
        </is>
      </c>
      <c r="E363" t="inlineStr">
        <is>
          <t>HERRLJUNGA</t>
        </is>
      </c>
      <c r="G363" t="n">
        <v>3.4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28413-2023</t>
        </is>
      </c>
      <c r="B364" s="1" t="n">
        <v>45101</v>
      </c>
      <c r="C364" s="1" t="n">
        <v>45275</v>
      </c>
      <c r="D364" t="inlineStr">
        <is>
          <t>VÄSTRA GÖTALANDS LÄN</t>
        </is>
      </c>
      <c r="E364" t="inlineStr">
        <is>
          <t>HERRLJUNGA</t>
        </is>
      </c>
      <c r="G364" t="n">
        <v>5.9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29935-2023</t>
        </is>
      </c>
      <c r="B365" s="1" t="n">
        <v>45108</v>
      </c>
      <c r="C365" s="1" t="n">
        <v>45275</v>
      </c>
      <c r="D365" t="inlineStr">
        <is>
          <t>VÄSTRA GÖTALANDS LÄN</t>
        </is>
      </c>
      <c r="E365" t="inlineStr">
        <is>
          <t>HERRLJUNGA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32089-2023</t>
        </is>
      </c>
      <c r="B366" s="1" t="n">
        <v>45119</v>
      </c>
      <c r="C366" s="1" t="n">
        <v>45275</v>
      </c>
      <c r="D366" t="inlineStr">
        <is>
          <t>VÄSTRA GÖTALANDS LÄN</t>
        </is>
      </c>
      <c r="E366" t="inlineStr">
        <is>
          <t>HERRLJUNGA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33657-2023</t>
        </is>
      </c>
      <c r="B367" s="1" t="n">
        <v>45132</v>
      </c>
      <c r="C367" s="1" t="n">
        <v>45275</v>
      </c>
      <c r="D367" t="inlineStr">
        <is>
          <t>VÄSTRA GÖTALANDS LÄN</t>
        </is>
      </c>
      <c r="E367" t="inlineStr">
        <is>
          <t>HERRLJUNGA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33810-2023</t>
        </is>
      </c>
      <c r="B368" s="1" t="n">
        <v>45133</v>
      </c>
      <c r="C368" s="1" t="n">
        <v>45275</v>
      </c>
      <c r="D368" t="inlineStr">
        <is>
          <t>VÄSTRA GÖTALANDS LÄN</t>
        </is>
      </c>
      <c r="E368" t="inlineStr">
        <is>
          <t>HERRLJUNGA</t>
        </is>
      </c>
      <c r="G368" t="n">
        <v>8.1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34189-2023</t>
        </is>
      </c>
      <c r="B369" s="1" t="n">
        <v>45138</v>
      </c>
      <c r="C369" s="1" t="n">
        <v>45275</v>
      </c>
      <c r="D369" t="inlineStr">
        <is>
          <t>VÄSTRA GÖTALANDS LÄN</t>
        </is>
      </c>
      <c r="E369" t="inlineStr">
        <is>
          <t>HERRLJUNGA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34188-2023</t>
        </is>
      </c>
      <c r="B370" s="1" t="n">
        <v>45138</v>
      </c>
      <c r="C370" s="1" t="n">
        <v>45275</v>
      </c>
      <c r="D370" t="inlineStr">
        <is>
          <t>VÄSTRA GÖTALANDS LÄN</t>
        </is>
      </c>
      <c r="E370" t="inlineStr">
        <is>
          <t>HERRLJUNGA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35364-2023</t>
        </is>
      </c>
      <c r="B371" s="1" t="n">
        <v>45146</v>
      </c>
      <c r="C371" s="1" t="n">
        <v>45275</v>
      </c>
      <c r="D371" t="inlineStr">
        <is>
          <t>VÄSTRA GÖTALANDS LÄN</t>
        </is>
      </c>
      <c r="E371" t="inlineStr">
        <is>
          <t>HERRLJUNGA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35817-2023</t>
        </is>
      </c>
      <c r="B372" s="1" t="n">
        <v>45148</v>
      </c>
      <c r="C372" s="1" t="n">
        <v>45275</v>
      </c>
      <c r="D372" t="inlineStr">
        <is>
          <t>VÄSTRA GÖTALANDS LÄN</t>
        </is>
      </c>
      <c r="E372" t="inlineStr">
        <is>
          <t>HERRLJUNGA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36174-2023</t>
        </is>
      </c>
      <c r="B373" s="1" t="n">
        <v>45149</v>
      </c>
      <c r="C373" s="1" t="n">
        <v>45275</v>
      </c>
      <c r="D373" t="inlineStr">
        <is>
          <t>VÄSTRA GÖTALANDS LÄN</t>
        </is>
      </c>
      <c r="E373" t="inlineStr">
        <is>
          <t>HERRLJUNGA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36679-2023</t>
        </is>
      </c>
      <c r="B374" s="1" t="n">
        <v>45153</v>
      </c>
      <c r="C374" s="1" t="n">
        <v>45275</v>
      </c>
      <c r="D374" t="inlineStr">
        <is>
          <t>VÄSTRA GÖTALANDS LÄN</t>
        </is>
      </c>
      <c r="E374" t="inlineStr">
        <is>
          <t>HERRLJUNGA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36620-2023</t>
        </is>
      </c>
      <c r="B375" s="1" t="n">
        <v>45153</v>
      </c>
      <c r="C375" s="1" t="n">
        <v>45275</v>
      </c>
      <c r="D375" t="inlineStr">
        <is>
          <t>VÄSTRA GÖTALANDS LÄN</t>
        </is>
      </c>
      <c r="E375" t="inlineStr">
        <is>
          <t>HERRLJUNGA</t>
        </is>
      </c>
      <c r="G375" t="n">
        <v>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36652-2023</t>
        </is>
      </c>
      <c r="B376" s="1" t="n">
        <v>45153</v>
      </c>
      <c r="C376" s="1" t="n">
        <v>45275</v>
      </c>
      <c r="D376" t="inlineStr">
        <is>
          <t>VÄSTRA GÖTALANDS LÄN</t>
        </is>
      </c>
      <c r="E376" t="inlineStr">
        <is>
          <t>HERRLJUNGA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37102-2023</t>
        </is>
      </c>
      <c r="B377" s="1" t="n">
        <v>45155</v>
      </c>
      <c r="C377" s="1" t="n">
        <v>45275</v>
      </c>
      <c r="D377" t="inlineStr">
        <is>
          <t>VÄSTRA GÖTALANDS LÄN</t>
        </is>
      </c>
      <c r="E377" t="inlineStr">
        <is>
          <t>HERRLJUNGA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37112-2023</t>
        </is>
      </c>
      <c r="B378" s="1" t="n">
        <v>45155</v>
      </c>
      <c r="C378" s="1" t="n">
        <v>45275</v>
      </c>
      <c r="D378" t="inlineStr">
        <is>
          <t>VÄSTRA GÖTALANDS LÄN</t>
        </is>
      </c>
      <c r="E378" t="inlineStr">
        <is>
          <t>HERRLJUNGA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37104-2023</t>
        </is>
      </c>
      <c r="B379" s="1" t="n">
        <v>45155</v>
      </c>
      <c r="C379" s="1" t="n">
        <v>45275</v>
      </c>
      <c r="D379" t="inlineStr">
        <is>
          <t>VÄSTRA GÖTALANDS LÄN</t>
        </is>
      </c>
      <c r="E379" t="inlineStr">
        <is>
          <t>HERRLJUNGA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37110-2023</t>
        </is>
      </c>
      <c r="B380" s="1" t="n">
        <v>45155</v>
      </c>
      <c r="C380" s="1" t="n">
        <v>45275</v>
      </c>
      <c r="D380" t="inlineStr">
        <is>
          <t>VÄSTRA GÖTALANDS LÄN</t>
        </is>
      </c>
      <c r="E380" t="inlineStr">
        <is>
          <t>HERRLJUNGA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37746-2023</t>
        </is>
      </c>
      <c r="B381" s="1" t="n">
        <v>45159</v>
      </c>
      <c r="C381" s="1" t="n">
        <v>45275</v>
      </c>
      <c r="D381" t="inlineStr">
        <is>
          <t>VÄSTRA GÖTALANDS LÄN</t>
        </is>
      </c>
      <c r="E381" t="inlineStr">
        <is>
          <t>HERRLJUNGA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38068-2023</t>
        </is>
      </c>
      <c r="B382" s="1" t="n">
        <v>45160</v>
      </c>
      <c r="C382" s="1" t="n">
        <v>45275</v>
      </c>
      <c r="D382" t="inlineStr">
        <is>
          <t>VÄSTRA GÖTALANDS LÄN</t>
        </is>
      </c>
      <c r="E382" t="inlineStr">
        <is>
          <t>HERRLJUNGA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38056-2023</t>
        </is>
      </c>
      <c r="B383" s="1" t="n">
        <v>45160</v>
      </c>
      <c r="C383" s="1" t="n">
        <v>45275</v>
      </c>
      <c r="D383" t="inlineStr">
        <is>
          <t>VÄSTRA GÖTALANDS LÄN</t>
        </is>
      </c>
      <c r="E383" t="inlineStr">
        <is>
          <t>HERRLJUNGA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38069-2023</t>
        </is>
      </c>
      <c r="B384" s="1" t="n">
        <v>45160</v>
      </c>
      <c r="C384" s="1" t="n">
        <v>45275</v>
      </c>
      <c r="D384" t="inlineStr">
        <is>
          <t>VÄSTRA GÖTALANDS LÄN</t>
        </is>
      </c>
      <c r="E384" t="inlineStr">
        <is>
          <t>HERRLJUNGA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38836-2023</t>
        </is>
      </c>
      <c r="B385" s="1" t="n">
        <v>45163</v>
      </c>
      <c r="C385" s="1" t="n">
        <v>45275</v>
      </c>
      <c r="D385" t="inlineStr">
        <is>
          <t>VÄSTRA GÖTALANDS LÄN</t>
        </is>
      </c>
      <c r="E385" t="inlineStr">
        <is>
          <t>HERRLJUNGA</t>
        </is>
      </c>
      <c r="F385" t="inlineStr">
        <is>
          <t>Sveaskog</t>
        </is>
      </c>
      <c r="G385" t="n">
        <v>12.4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39423-2023</t>
        </is>
      </c>
      <c r="B386" s="1" t="n">
        <v>45163</v>
      </c>
      <c r="C386" s="1" t="n">
        <v>45275</v>
      </c>
      <c r="D386" t="inlineStr">
        <is>
          <t>VÄSTRA GÖTALANDS LÄN</t>
        </is>
      </c>
      <c r="E386" t="inlineStr">
        <is>
          <t>HERRLJUNGA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39422-2023</t>
        </is>
      </c>
      <c r="B387" s="1" t="n">
        <v>45163</v>
      </c>
      <c r="C387" s="1" t="n">
        <v>45275</v>
      </c>
      <c r="D387" t="inlineStr">
        <is>
          <t>VÄSTRA GÖTALANDS LÄN</t>
        </is>
      </c>
      <c r="E387" t="inlineStr">
        <is>
          <t>HERRLJUNGA</t>
        </is>
      </c>
      <c r="G387" t="n">
        <v>4.4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40025-2023</t>
        </is>
      </c>
      <c r="B388" s="1" t="n">
        <v>45168</v>
      </c>
      <c r="C388" s="1" t="n">
        <v>45275</v>
      </c>
      <c r="D388" t="inlineStr">
        <is>
          <t>VÄSTRA GÖTALANDS LÄN</t>
        </is>
      </c>
      <c r="E388" t="inlineStr">
        <is>
          <t>HERRLJUNGA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40029-2023</t>
        </is>
      </c>
      <c r="B389" s="1" t="n">
        <v>45168</v>
      </c>
      <c r="C389" s="1" t="n">
        <v>45275</v>
      </c>
      <c r="D389" t="inlineStr">
        <is>
          <t>VÄSTRA GÖTALANDS LÄN</t>
        </is>
      </c>
      <c r="E389" t="inlineStr">
        <is>
          <t>HERRLJUNGA</t>
        </is>
      </c>
      <c r="G389" t="n">
        <v>4.2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40027-2023</t>
        </is>
      </c>
      <c r="B390" s="1" t="n">
        <v>45168</v>
      </c>
      <c r="C390" s="1" t="n">
        <v>45275</v>
      </c>
      <c r="D390" t="inlineStr">
        <is>
          <t>VÄSTRA GÖTALANDS LÄN</t>
        </is>
      </c>
      <c r="E390" t="inlineStr">
        <is>
          <t>HERRLJUNGA</t>
        </is>
      </c>
      <c r="G390" t="n">
        <v>10.1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40841-2023</t>
        </is>
      </c>
      <c r="B391" s="1" t="n">
        <v>45172</v>
      </c>
      <c r="C391" s="1" t="n">
        <v>45275</v>
      </c>
      <c r="D391" t="inlineStr">
        <is>
          <t>VÄSTRA GÖTALANDS LÄN</t>
        </is>
      </c>
      <c r="E391" t="inlineStr">
        <is>
          <t>HERRLJUNGA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40842-2023</t>
        </is>
      </c>
      <c r="B392" s="1" t="n">
        <v>45172</v>
      </c>
      <c r="C392" s="1" t="n">
        <v>45275</v>
      </c>
      <c r="D392" t="inlineStr">
        <is>
          <t>VÄSTRA GÖTALANDS LÄN</t>
        </is>
      </c>
      <c r="E392" t="inlineStr">
        <is>
          <t>HERRLJUNGA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41672-2023</t>
        </is>
      </c>
      <c r="B393" s="1" t="n">
        <v>45176</v>
      </c>
      <c r="C393" s="1" t="n">
        <v>45275</v>
      </c>
      <c r="D393" t="inlineStr">
        <is>
          <t>VÄSTRA GÖTALANDS LÄN</t>
        </is>
      </c>
      <c r="E393" t="inlineStr">
        <is>
          <t>HERRLJUNGA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41671-2023</t>
        </is>
      </c>
      <c r="B394" s="1" t="n">
        <v>45176</v>
      </c>
      <c r="C394" s="1" t="n">
        <v>45275</v>
      </c>
      <c r="D394" t="inlineStr">
        <is>
          <t>VÄSTRA GÖTALANDS LÄN</t>
        </is>
      </c>
      <c r="E394" t="inlineStr">
        <is>
          <t>HERRLJUNGA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42126-2023</t>
        </is>
      </c>
      <c r="B395" s="1" t="n">
        <v>45177</v>
      </c>
      <c r="C395" s="1" t="n">
        <v>45275</v>
      </c>
      <c r="D395" t="inlineStr">
        <is>
          <t>VÄSTRA GÖTALANDS LÄN</t>
        </is>
      </c>
      <c r="E395" t="inlineStr">
        <is>
          <t>HERRLJUNGA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42124-2023</t>
        </is>
      </c>
      <c r="B396" s="1" t="n">
        <v>45177</v>
      </c>
      <c r="C396" s="1" t="n">
        <v>45275</v>
      </c>
      <c r="D396" t="inlineStr">
        <is>
          <t>VÄSTRA GÖTALANDS LÄN</t>
        </is>
      </c>
      <c r="E396" t="inlineStr">
        <is>
          <t>HERRLJUNGA</t>
        </is>
      </c>
      <c r="G396" t="n">
        <v>4.5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44293-2023</t>
        </is>
      </c>
      <c r="B397" s="1" t="n">
        <v>45188</v>
      </c>
      <c r="C397" s="1" t="n">
        <v>45275</v>
      </c>
      <c r="D397" t="inlineStr">
        <is>
          <t>VÄSTRA GÖTALANDS LÄN</t>
        </is>
      </c>
      <c r="E397" t="inlineStr">
        <is>
          <t>HERRLJUNGA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44355-2023</t>
        </is>
      </c>
      <c r="B398" s="1" t="n">
        <v>45188</v>
      </c>
      <c r="C398" s="1" t="n">
        <v>45275</v>
      </c>
      <c r="D398" t="inlineStr">
        <is>
          <t>VÄSTRA GÖTALANDS LÄN</t>
        </is>
      </c>
      <c r="E398" t="inlineStr">
        <is>
          <t>HERRLJUNGA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44354-2023</t>
        </is>
      </c>
      <c r="B399" s="1" t="n">
        <v>45188</v>
      </c>
      <c r="C399" s="1" t="n">
        <v>45275</v>
      </c>
      <c r="D399" t="inlineStr">
        <is>
          <t>VÄSTRA GÖTALANDS LÄN</t>
        </is>
      </c>
      <c r="E399" t="inlineStr">
        <is>
          <t>HERRLJUNGA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44683-2023</t>
        </is>
      </c>
      <c r="B400" s="1" t="n">
        <v>45189</v>
      </c>
      <c r="C400" s="1" t="n">
        <v>45275</v>
      </c>
      <c r="D400" t="inlineStr">
        <is>
          <t>VÄSTRA GÖTALANDS LÄN</t>
        </is>
      </c>
      <c r="E400" t="inlineStr">
        <is>
          <t>HERRLJUNGA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45518-2023</t>
        </is>
      </c>
      <c r="B401" s="1" t="n">
        <v>45194</v>
      </c>
      <c r="C401" s="1" t="n">
        <v>45275</v>
      </c>
      <c r="D401" t="inlineStr">
        <is>
          <t>VÄSTRA GÖTALANDS LÄN</t>
        </is>
      </c>
      <c r="E401" t="inlineStr">
        <is>
          <t>HERRLJUNGA</t>
        </is>
      </c>
      <c r="G401" t="n">
        <v>6.5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47057-2023</t>
        </is>
      </c>
      <c r="B402" s="1" t="n">
        <v>45196</v>
      </c>
      <c r="C402" s="1" t="n">
        <v>45275</v>
      </c>
      <c r="D402" t="inlineStr">
        <is>
          <t>VÄSTRA GÖTALANDS LÄN</t>
        </is>
      </c>
      <c r="E402" t="inlineStr">
        <is>
          <t>HERRLJUNGA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46298-2023</t>
        </is>
      </c>
      <c r="B403" s="1" t="n">
        <v>45197</v>
      </c>
      <c r="C403" s="1" t="n">
        <v>45275</v>
      </c>
      <c r="D403" t="inlineStr">
        <is>
          <t>VÄSTRA GÖTALANDS LÄN</t>
        </is>
      </c>
      <c r="E403" t="inlineStr">
        <is>
          <t>HERRLJUNGA</t>
        </is>
      </c>
      <c r="F403" t="inlineStr">
        <is>
          <t>Sveaskog</t>
        </is>
      </c>
      <c r="G403" t="n">
        <v>5.1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47055-2023</t>
        </is>
      </c>
      <c r="B404" s="1" t="n">
        <v>45201</v>
      </c>
      <c r="C404" s="1" t="n">
        <v>45275</v>
      </c>
      <c r="D404" t="inlineStr">
        <is>
          <t>VÄSTRA GÖTALANDS LÄN</t>
        </is>
      </c>
      <c r="E404" t="inlineStr">
        <is>
          <t>HERRLJUNGA</t>
        </is>
      </c>
      <c r="G404" t="n">
        <v>5.7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48110-2023</t>
        </is>
      </c>
      <c r="B405" s="1" t="n">
        <v>45205</v>
      </c>
      <c r="C405" s="1" t="n">
        <v>45275</v>
      </c>
      <c r="D405" t="inlineStr">
        <is>
          <t>VÄSTRA GÖTALANDS LÄN</t>
        </is>
      </c>
      <c r="E405" t="inlineStr">
        <is>
          <t>HERRLJUNGA</t>
        </is>
      </c>
      <c r="G405" t="n">
        <v>13.2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48197-2023</t>
        </is>
      </c>
      <c r="B406" s="1" t="n">
        <v>45205</v>
      </c>
      <c r="C406" s="1" t="n">
        <v>45275</v>
      </c>
      <c r="D406" t="inlineStr">
        <is>
          <t>VÄSTRA GÖTALANDS LÄN</t>
        </is>
      </c>
      <c r="E406" t="inlineStr">
        <is>
          <t>HERRLJUNGA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49072-2023</t>
        </is>
      </c>
      <c r="B407" s="1" t="n">
        <v>45210</v>
      </c>
      <c r="C407" s="1" t="n">
        <v>45275</v>
      </c>
      <c r="D407" t="inlineStr">
        <is>
          <t>VÄSTRA GÖTALANDS LÄN</t>
        </is>
      </c>
      <c r="E407" t="inlineStr">
        <is>
          <t>HERRLJUNGA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49280-2023</t>
        </is>
      </c>
      <c r="B408" s="1" t="n">
        <v>45210</v>
      </c>
      <c r="C408" s="1" t="n">
        <v>45275</v>
      </c>
      <c r="D408" t="inlineStr">
        <is>
          <t>VÄSTRA GÖTALANDS LÄN</t>
        </is>
      </c>
      <c r="E408" t="inlineStr">
        <is>
          <t>HERRLJUNGA</t>
        </is>
      </c>
      <c r="G408" t="n">
        <v>4.5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49605-2023</t>
        </is>
      </c>
      <c r="B409" s="1" t="n">
        <v>45211</v>
      </c>
      <c r="C409" s="1" t="n">
        <v>45275</v>
      </c>
      <c r="D409" t="inlineStr">
        <is>
          <t>VÄSTRA GÖTALANDS LÄN</t>
        </is>
      </c>
      <c r="E409" t="inlineStr">
        <is>
          <t>HERRLJUNGA</t>
        </is>
      </c>
      <c r="G409" t="n">
        <v>3.5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49606-2023</t>
        </is>
      </c>
      <c r="B410" s="1" t="n">
        <v>45211</v>
      </c>
      <c r="C410" s="1" t="n">
        <v>45275</v>
      </c>
      <c r="D410" t="inlineStr">
        <is>
          <t>VÄSTRA GÖTALANDS LÄN</t>
        </is>
      </c>
      <c r="E410" t="inlineStr">
        <is>
          <t>HERRLJUNGA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49743-2023</t>
        </is>
      </c>
      <c r="B411" s="1" t="n">
        <v>45212</v>
      </c>
      <c r="C411" s="1" t="n">
        <v>45275</v>
      </c>
      <c r="D411" t="inlineStr">
        <is>
          <t>VÄSTRA GÖTALANDS LÄN</t>
        </is>
      </c>
      <c r="E411" t="inlineStr">
        <is>
          <t>HERRLJUNGA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49920-2023</t>
        </is>
      </c>
      <c r="B412" s="1" t="n">
        <v>45214</v>
      </c>
      <c r="C412" s="1" t="n">
        <v>45275</v>
      </c>
      <c r="D412" t="inlineStr">
        <is>
          <t>VÄSTRA GÖTALANDS LÄN</t>
        </is>
      </c>
      <c r="E412" t="inlineStr">
        <is>
          <t>HERRLJUNGA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51254-2023</t>
        </is>
      </c>
      <c r="B413" s="1" t="n">
        <v>45219</v>
      </c>
      <c r="C413" s="1" t="n">
        <v>45275</v>
      </c>
      <c r="D413" t="inlineStr">
        <is>
          <t>VÄSTRA GÖTALANDS LÄN</t>
        </is>
      </c>
      <c r="E413" t="inlineStr">
        <is>
          <t>HERRLJUNGA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51252-2023</t>
        </is>
      </c>
      <c r="B414" s="1" t="n">
        <v>45219</v>
      </c>
      <c r="C414" s="1" t="n">
        <v>45275</v>
      </c>
      <c r="D414" t="inlineStr">
        <is>
          <t>VÄSTRA GÖTALANDS LÄN</t>
        </is>
      </c>
      <c r="E414" t="inlineStr">
        <is>
          <t>HERRLJUNGA</t>
        </is>
      </c>
      <c r="G414" t="n">
        <v>5.5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51618-2023</t>
        </is>
      </c>
      <c r="B415" s="1" t="n">
        <v>45222</v>
      </c>
      <c r="C415" s="1" t="n">
        <v>45275</v>
      </c>
      <c r="D415" t="inlineStr">
        <is>
          <t>VÄSTRA GÖTALANDS LÄN</t>
        </is>
      </c>
      <c r="E415" t="inlineStr">
        <is>
          <t>HERRLJUNGA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51623-2023</t>
        </is>
      </c>
      <c r="B416" s="1" t="n">
        <v>45222</v>
      </c>
      <c r="C416" s="1" t="n">
        <v>45275</v>
      </c>
      <c r="D416" t="inlineStr">
        <is>
          <t>VÄSTRA GÖTALANDS LÄN</t>
        </is>
      </c>
      <c r="E416" t="inlineStr">
        <is>
          <t>HERRLJUNGA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51620-2023</t>
        </is>
      </c>
      <c r="B417" s="1" t="n">
        <v>45222</v>
      </c>
      <c r="C417" s="1" t="n">
        <v>45275</v>
      </c>
      <c r="D417" t="inlineStr">
        <is>
          <t>VÄSTRA GÖTALANDS LÄN</t>
        </is>
      </c>
      <c r="E417" t="inlineStr">
        <is>
          <t>HERRLJUNGA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52312-2023</t>
        </is>
      </c>
      <c r="B418" s="1" t="n">
        <v>45224</v>
      </c>
      <c r="C418" s="1" t="n">
        <v>45275</v>
      </c>
      <c r="D418" t="inlineStr">
        <is>
          <t>VÄSTRA GÖTALANDS LÄN</t>
        </is>
      </c>
      <c r="E418" t="inlineStr">
        <is>
          <t>HERRLJUNGA</t>
        </is>
      </c>
      <c r="G418" t="n">
        <v>3.4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53287-2023</t>
        </is>
      </c>
      <c r="B419" s="1" t="n">
        <v>45229</v>
      </c>
      <c r="C419" s="1" t="n">
        <v>45275</v>
      </c>
      <c r="D419" t="inlineStr">
        <is>
          <t>VÄSTRA GÖTALANDS LÄN</t>
        </is>
      </c>
      <c r="E419" t="inlineStr">
        <is>
          <t>HERRLJUNGA</t>
        </is>
      </c>
      <c r="G419" t="n">
        <v>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53950-2023</t>
        </is>
      </c>
      <c r="B420" s="1" t="n">
        <v>45231</v>
      </c>
      <c r="C420" s="1" t="n">
        <v>45275</v>
      </c>
      <c r="D420" t="inlineStr">
        <is>
          <t>VÄSTRA GÖTALANDS LÄN</t>
        </is>
      </c>
      <c r="E420" t="inlineStr">
        <is>
          <t>HERRLJUNGA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54563-2023</t>
        </is>
      </c>
      <c r="B421" s="1" t="n">
        <v>45233</v>
      </c>
      <c r="C421" s="1" t="n">
        <v>45275</v>
      </c>
      <c r="D421" t="inlineStr">
        <is>
          <t>VÄSTRA GÖTALANDS LÄN</t>
        </is>
      </c>
      <c r="E421" t="inlineStr">
        <is>
          <t>HERRLJUNGA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54439-2023</t>
        </is>
      </c>
      <c r="B422" s="1" t="n">
        <v>45233</v>
      </c>
      <c r="C422" s="1" t="n">
        <v>45275</v>
      </c>
      <c r="D422" t="inlineStr">
        <is>
          <t>VÄSTRA GÖTALANDS LÄN</t>
        </is>
      </c>
      <c r="E422" t="inlineStr">
        <is>
          <t>HERRLJUNGA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54372-2023</t>
        </is>
      </c>
      <c r="B423" s="1" t="n">
        <v>45233</v>
      </c>
      <c r="C423" s="1" t="n">
        <v>45275</v>
      </c>
      <c r="D423" t="inlineStr">
        <is>
          <t>VÄSTRA GÖTALANDS LÄN</t>
        </is>
      </c>
      <c r="E423" t="inlineStr">
        <is>
          <t>HERRLJUNGA</t>
        </is>
      </c>
      <c r="G423" t="n">
        <v>7.8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54740-2023</t>
        </is>
      </c>
      <c r="B424" s="1" t="n">
        <v>45236</v>
      </c>
      <c r="C424" s="1" t="n">
        <v>45275</v>
      </c>
      <c r="D424" t="inlineStr">
        <is>
          <t>VÄSTRA GÖTALANDS LÄN</t>
        </is>
      </c>
      <c r="E424" t="inlineStr">
        <is>
          <t>HERRLJUNGA</t>
        </is>
      </c>
      <c r="G424" t="n">
        <v>3.3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54825-2023</t>
        </is>
      </c>
      <c r="B425" s="1" t="n">
        <v>45236</v>
      </c>
      <c r="C425" s="1" t="n">
        <v>45275</v>
      </c>
      <c r="D425" t="inlineStr">
        <is>
          <t>VÄSTRA GÖTALANDS LÄN</t>
        </is>
      </c>
      <c r="E425" t="inlineStr">
        <is>
          <t>HERRLJUNGA</t>
        </is>
      </c>
      <c r="G425" t="n">
        <v>17.8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54921-2023</t>
        </is>
      </c>
      <c r="B426" s="1" t="n">
        <v>45236</v>
      </c>
      <c r="C426" s="1" t="n">
        <v>45275</v>
      </c>
      <c r="D426" t="inlineStr">
        <is>
          <t>VÄSTRA GÖTALANDS LÄN</t>
        </is>
      </c>
      <c r="E426" t="inlineStr">
        <is>
          <t>HERRLJUNGA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54919-2023</t>
        </is>
      </c>
      <c r="B427" s="1" t="n">
        <v>45236</v>
      </c>
      <c r="C427" s="1" t="n">
        <v>45275</v>
      </c>
      <c r="D427" t="inlineStr">
        <is>
          <t>VÄSTRA GÖTALANDS LÄN</t>
        </is>
      </c>
      <c r="E427" t="inlineStr">
        <is>
          <t>HERRLJUNGA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54922-2023</t>
        </is>
      </c>
      <c r="B428" s="1" t="n">
        <v>45236</v>
      </c>
      <c r="C428" s="1" t="n">
        <v>45275</v>
      </c>
      <c r="D428" t="inlineStr">
        <is>
          <t>VÄSTRA GÖTALANDS LÄN</t>
        </is>
      </c>
      <c r="E428" t="inlineStr">
        <is>
          <t>HERRLJUNGA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55829-2023</t>
        </is>
      </c>
      <c r="B429" s="1" t="n">
        <v>45239</v>
      </c>
      <c r="C429" s="1" t="n">
        <v>45275</v>
      </c>
      <c r="D429" t="inlineStr">
        <is>
          <t>VÄSTRA GÖTALANDS LÄN</t>
        </is>
      </c>
      <c r="E429" t="inlineStr">
        <is>
          <t>HERRLJUNGA</t>
        </is>
      </c>
      <c r="G429" t="n">
        <v>5.7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56228-2023</t>
        </is>
      </c>
      <c r="B430" s="1" t="n">
        <v>45240</v>
      </c>
      <c r="C430" s="1" t="n">
        <v>45275</v>
      </c>
      <c r="D430" t="inlineStr">
        <is>
          <t>VÄSTRA GÖTALANDS LÄN</t>
        </is>
      </c>
      <c r="E430" t="inlineStr">
        <is>
          <t>HERRLJUNGA</t>
        </is>
      </c>
      <c r="G430" t="n">
        <v>3.8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57995-2023</t>
        </is>
      </c>
      <c r="B431" s="1" t="n">
        <v>45247</v>
      </c>
      <c r="C431" s="1" t="n">
        <v>45275</v>
      </c>
      <c r="D431" t="inlineStr">
        <is>
          <t>VÄSTRA GÖTALANDS LÄN</t>
        </is>
      </c>
      <c r="E431" t="inlineStr">
        <is>
          <t>HERRLJUNGA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58564-2023</t>
        </is>
      </c>
      <c r="B432" s="1" t="n">
        <v>45251</v>
      </c>
      <c r="C432" s="1" t="n">
        <v>45275</v>
      </c>
      <c r="D432" t="inlineStr">
        <is>
          <t>VÄSTRA GÖTALANDS LÄN</t>
        </is>
      </c>
      <c r="E432" t="inlineStr">
        <is>
          <t>HERRLJUNGA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61701-2023</t>
        </is>
      </c>
      <c r="B433" s="1" t="n">
        <v>45265</v>
      </c>
      <c r="C433" s="1" t="n">
        <v>45275</v>
      </c>
      <c r="D433" t="inlineStr">
        <is>
          <t>VÄSTRA GÖTALANDS LÄN</t>
        </is>
      </c>
      <c r="E433" t="inlineStr">
        <is>
          <t>HERRLJUNGA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61729-2023</t>
        </is>
      </c>
      <c r="B434" s="1" t="n">
        <v>45265</v>
      </c>
      <c r="C434" s="1" t="n">
        <v>45275</v>
      </c>
      <c r="D434" t="inlineStr">
        <is>
          <t>VÄSTRA GÖTALANDS LÄN</t>
        </is>
      </c>
      <c r="E434" t="inlineStr">
        <is>
          <t>HERRLJUNGA</t>
        </is>
      </c>
      <c r="G434" t="n">
        <v>5.8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61689-2023</t>
        </is>
      </c>
      <c r="B435" s="1" t="n">
        <v>45265</v>
      </c>
      <c r="C435" s="1" t="n">
        <v>45275</v>
      </c>
      <c r="D435" t="inlineStr">
        <is>
          <t>VÄSTRA GÖTALANDS LÄN</t>
        </is>
      </c>
      <c r="E435" t="inlineStr">
        <is>
          <t>HERRLJUNGA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61698-2023</t>
        </is>
      </c>
      <c r="B436" s="1" t="n">
        <v>45265</v>
      </c>
      <c r="C436" s="1" t="n">
        <v>45275</v>
      </c>
      <c r="D436" t="inlineStr">
        <is>
          <t>VÄSTRA GÖTALANDS LÄN</t>
        </is>
      </c>
      <c r="E436" t="inlineStr">
        <is>
          <t>HERRLJUNGA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61705-2023</t>
        </is>
      </c>
      <c r="B437" s="1" t="n">
        <v>45265</v>
      </c>
      <c r="C437" s="1" t="n">
        <v>45275</v>
      </c>
      <c r="D437" t="inlineStr">
        <is>
          <t>VÄSTRA GÖTALANDS LÄN</t>
        </is>
      </c>
      <c r="E437" t="inlineStr">
        <is>
          <t>HERRLJUNGA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61747-2023</t>
        </is>
      </c>
      <c r="B438" s="1" t="n">
        <v>45265</v>
      </c>
      <c r="C438" s="1" t="n">
        <v>45275</v>
      </c>
      <c r="D438" t="inlineStr">
        <is>
          <t>VÄSTRA GÖTALANDS LÄN</t>
        </is>
      </c>
      <c r="E438" t="inlineStr">
        <is>
          <t>HERRLJUNGA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62270-2023</t>
        </is>
      </c>
      <c r="B439" s="1" t="n">
        <v>45266</v>
      </c>
      <c r="C439" s="1" t="n">
        <v>45275</v>
      </c>
      <c r="D439" t="inlineStr">
        <is>
          <t>VÄSTRA GÖTALANDS LÄN</t>
        </is>
      </c>
      <c r="E439" t="inlineStr">
        <is>
          <t>HERRLJUNGA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62280-2023</t>
        </is>
      </c>
      <c r="B440" s="1" t="n">
        <v>45266</v>
      </c>
      <c r="C440" s="1" t="n">
        <v>45275</v>
      </c>
      <c r="D440" t="inlineStr">
        <is>
          <t>VÄSTRA GÖTALANDS LÄN</t>
        </is>
      </c>
      <c r="E440" t="inlineStr">
        <is>
          <t>HERRLJUNGA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62279-2023</t>
        </is>
      </c>
      <c r="B441" s="1" t="n">
        <v>45266</v>
      </c>
      <c r="C441" s="1" t="n">
        <v>45275</v>
      </c>
      <c r="D441" t="inlineStr">
        <is>
          <t>VÄSTRA GÖTALANDS LÄN</t>
        </is>
      </c>
      <c r="E441" t="inlineStr">
        <is>
          <t>HERRLJUNGA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62175-2023</t>
        </is>
      </c>
      <c r="B442" s="1" t="n">
        <v>45267</v>
      </c>
      <c r="C442" s="1" t="n">
        <v>45275</v>
      </c>
      <c r="D442" t="inlineStr">
        <is>
          <t>VÄSTRA GÖTALANDS LÄN</t>
        </is>
      </c>
      <c r="E442" t="inlineStr">
        <is>
          <t>HERRLJUNGA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62179-2023</t>
        </is>
      </c>
      <c r="B443" s="1" t="n">
        <v>45267</v>
      </c>
      <c r="C443" s="1" t="n">
        <v>45275</v>
      </c>
      <c r="D443" t="inlineStr">
        <is>
          <t>VÄSTRA GÖTALANDS LÄN</t>
        </is>
      </c>
      <c r="E443" t="inlineStr">
        <is>
          <t>HERRLJUNGA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62189-2023</t>
        </is>
      </c>
      <c r="B444" s="1" t="n">
        <v>45267</v>
      </c>
      <c r="C444" s="1" t="n">
        <v>45275</v>
      </c>
      <c r="D444" t="inlineStr">
        <is>
          <t>VÄSTRA GÖTALANDS LÄN</t>
        </is>
      </c>
      <c r="E444" t="inlineStr">
        <is>
          <t>HERRLJUNGA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62585-2023</t>
        </is>
      </c>
      <c r="B445" s="1" t="n">
        <v>45270</v>
      </c>
      <c r="C445" s="1" t="n">
        <v>45275</v>
      </c>
      <c r="D445" t="inlineStr">
        <is>
          <t>VÄSTRA GÖTALANDS LÄN</t>
        </is>
      </c>
      <c r="E445" t="inlineStr">
        <is>
          <t>HERRLJUNGA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62689-2023</t>
        </is>
      </c>
      <c r="B446" s="1" t="n">
        <v>45271</v>
      </c>
      <c r="C446" s="1" t="n">
        <v>45275</v>
      </c>
      <c r="D446" t="inlineStr">
        <is>
          <t>VÄSTRA GÖTALANDS LÄN</t>
        </is>
      </c>
      <c r="E446" t="inlineStr">
        <is>
          <t>HERRLJUNGA</t>
        </is>
      </c>
      <c r="G446" t="n">
        <v>3.7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63226-2023</t>
        </is>
      </c>
      <c r="B447" s="1" t="n">
        <v>45273</v>
      </c>
      <c r="C447" s="1" t="n">
        <v>45275</v>
      </c>
      <c r="D447" t="inlineStr">
        <is>
          <t>VÄSTRA GÖTALANDS LÄN</t>
        </is>
      </c>
      <c r="E447" t="inlineStr">
        <is>
          <t>HERRLJUNGA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63446-2023</t>
        </is>
      </c>
      <c r="B448" s="1" t="n">
        <v>45274</v>
      </c>
      <c r="C448" s="1" t="n">
        <v>45275</v>
      </c>
      <c r="D448" t="inlineStr">
        <is>
          <t>VÄSTRA GÖTALANDS LÄN</t>
        </is>
      </c>
      <c r="E448" t="inlineStr">
        <is>
          <t>HERRLJUNGA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>
      <c r="A449" t="inlineStr">
        <is>
          <t>A 63445-2023</t>
        </is>
      </c>
      <c r="B449" s="1" t="n">
        <v>45274</v>
      </c>
      <c r="C449" s="1" t="n">
        <v>45275</v>
      </c>
      <c r="D449" t="inlineStr">
        <is>
          <t>VÄSTRA GÖTALANDS LÄN</t>
        </is>
      </c>
      <c r="E449" t="inlineStr">
        <is>
          <t>HERRLJUNGA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2023-12-15T09:39:10Z</dcterms:created>
  <dcterms:modified xmlns:dcterms="http://purl.org/dc/terms/" xmlns:xsi="http://www.w3.org/2001/XMLSchema-instance" xsi:type="dcterms:W3CDTF">2023-12-15T09:39:10Z</dcterms:modified>
</cp:coreProperties>
</file>