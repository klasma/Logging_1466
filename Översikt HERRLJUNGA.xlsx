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11881-2023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44995</v>
      </c>
      <c r="E2" s="1" t="n">
        <v>46283</v>
      </c>
      <c r="F2" t="inlineStr">
        <is>
          <t>VÄSTRA GÖTALANDS LÄN</t>
        </is>
      </c>
      <c r="G2" t="inlineStr">
        <is>
          <t>HERRLJUNGA</t>
        </is>
      </c>
      <c r="I2" t="n">
        <v>1.5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7</v>
      </c>
      <c r="T2" t="n">
        <v>7</v>
      </c>
      <c r="U2" t="n">
        <v>7</v>
      </c>
      <c r="V2" s="2" t="inlineStr">
        <is>
          <t>Stare
Bivråk
Gulsparv
Sädesärla
Buskskvätta
Grönsiska
Svartvit flugsnappare</t>
        </is>
      </c>
      <c r="W2">
        <f>HYPERLINK("https://klasma.github.io/Logging_1466/artfynd/A 11881-2023 artfynd.xlsx", "A 11881-2023")</f>
        <v/>
      </c>
      <c r="X2">
        <f>HYPERLINK("https://klasma.github.io/Logging_1466/kartor/A 11881-2023 karta.png", "A 11881-2023")</f>
        <v/>
      </c>
      <c r="Y2">
        <f>HYPERLINK("https://klasma.github.io/Logging_1466/kartor_geotiff/A 11881-2023 georefererad karta.tif", "A 11881-2023")</f>
        <v/>
      </c>
      <c r="AA2">
        <f>HYPERLINK("https://klasma.github.io/Logging_1466/klagomål/A 11881-2023 FSC-klagomål.docx", "A 11881-2023")</f>
        <v/>
      </c>
      <c r="AB2">
        <f>HYPERLINK("https://klasma.github.io/Logging_1466/klagomålsmail/A 11881-2023 FSC-klagomål mail.docx", "A 11881-2023")</f>
        <v/>
      </c>
      <c r="AC2">
        <f>HYPERLINK("https://klasma.github.io/Logging_1466/tillsyn/A 11881-2023 tillsynsbegäran.docx", "A 11881-2023")</f>
        <v/>
      </c>
      <c r="AD2">
        <f>HYPERLINK("https://klasma.github.io/Logging_1466/tillsynsmail/A 11881-2023 tillsynsbegäran mail.docx", "A 11881-2023")</f>
        <v/>
      </c>
      <c r="AE2">
        <f>HYPERLINK("https://klasma.github.io/Logging_1466/fåglar/A 11881-2023 prioriterade fågelarter.docx", "A 11881-2023")</f>
        <v/>
      </c>
    </row>
    <row r="3" ht="15" customHeight="1">
      <c r="A3" t="inlineStr">
        <is>
          <t>A 72571-2021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44546</v>
      </c>
      <c r="E3" s="1" t="n">
        <v>46283</v>
      </c>
      <c r="F3" t="inlineStr">
        <is>
          <t>VÄSTRA GÖTALANDS LÄN</t>
        </is>
      </c>
      <c r="G3" t="inlineStr">
        <is>
          <t>HERRLJUNGA</t>
        </is>
      </c>
      <c r="H3" t="inlineStr">
        <is>
          <t>Kommuner</t>
        </is>
      </c>
      <c r="I3" t="n">
        <v>2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Svinrot
Vanlig padda</t>
        </is>
      </c>
      <c r="W3">
        <f>HYPERLINK("https://klasma.github.io/Logging_1466/artfynd/A 72571-2021 artfynd.xlsx", "A 72571-2021")</f>
        <v/>
      </c>
      <c r="X3">
        <f>HYPERLINK("https://klasma.github.io/Logging_1466/kartor/A 72571-2021 karta.png", "A 72571-2021")</f>
        <v/>
      </c>
      <c r="Y3">
        <f>HYPERLINK("https://klasma.github.io/Logging_1466/kartor_geotiff/A 72571-2021 georefererad karta.tif", "A 72571-2021")</f>
        <v/>
      </c>
      <c r="AA3">
        <f>HYPERLINK("https://klasma.github.io/Logging_1466/klagomål/A 72571-2021 FSC-klagomål.docx", "A 72571-2021")</f>
        <v/>
      </c>
      <c r="AB3">
        <f>HYPERLINK("https://klasma.github.io/Logging_1466/klagomålsmail/A 72571-2021 FSC-klagomål mail.docx", "A 72571-2021")</f>
        <v/>
      </c>
      <c r="AC3">
        <f>HYPERLINK("https://klasma.github.io/Logging_1466/tillsyn/A 72571-2021 tillsynsbegäran.docx", "A 72571-2021")</f>
        <v/>
      </c>
      <c r="AD3">
        <f>HYPERLINK("https://klasma.github.io/Logging_1466/tillsynsmail/A 72571-2021 tillsynsbegäran mail.docx", "A 72571-2021")</f>
        <v/>
      </c>
    </row>
    <row r="4" ht="15" customHeight="1">
      <c r="A4" t="inlineStr">
        <is>
          <t>A 11879-2023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44995</v>
      </c>
      <c r="E4" s="1" t="n">
        <v>46283</v>
      </c>
      <c r="F4" t="inlineStr">
        <is>
          <t>VÄSTRA GÖTALANDS LÄN</t>
        </is>
      </c>
      <c r="G4" t="inlineStr">
        <is>
          <t>HERRLJUNGA</t>
        </is>
      </c>
      <c r="I4" t="n">
        <v>1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3</v>
      </c>
      <c r="U4" t="n">
        <v>3</v>
      </c>
      <c r="V4" s="2" t="inlineStr">
        <is>
          <t>Stare
Gröngöling</t>
        </is>
      </c>
      <c r="W4">
        <f>HYPERLINK("https://klasma.github.io/Logging_1466/artfynd/A 11879-2023 artfynd.xlsx", "A 11879-2023")</f>
        <v/>
      </c>
      <c r="X4">
        <f>HYPERLINK("https://klasma.github.io/Logging_1466/kartor/A 11879-2023 karta.png", "A 11879-2023")</f>
        <v/>
      </c>
      <c r="Y4">
        <f>HYPERLINK("https://klasma.github.io/Logging_1466/kartor_geotiff/A 11879-2023 georefererad karta.tif", "A 11879-2023")</f>
        <v/>
      </c>
      <c r="AA4">
        <f>HYPERLINK("https://klasma.github.io/Logging_1466/klagomål/A 11879-2023 FSC-klagomål.docx", "A 11879-2023")</f>
        <v/>
      </c>
      <c r="AB4">
        <f>HYPERLINK("https://klasma.github.io/Logging_1466/klagomålsmail/A 11879-2023 FSC-klagomål mail.docx", "A 11879-2023")</f>
        <v/>
      </c>
      <c r="AC4">
        <f>HYPERLINK("https://klasma.github.io/Logging_1466/tillsyn/A 11879-2023 tillsynsbegäran.docx", "A 11879-2023")</f>
        <v/>
      </c>
      <c r="AD4">
        <f>HYPERLINK("https://klasma.github.io/Logging_1466/tillsynsmail/A 11879-2023 tillsynsbegäran mail.docx", "A 11879-2023")</f>
        <v/>
      </c>
      <c r="AE4">
        <f>HYPERLINK("https://klasma.github.io/Logging_1466/fåglar/A 11879-2023 prioriterade fågelarter.docx", "A 11879-2023")</f>
        <v/>
      </c>
    </row>
    <row r="5" ht="15" customHeight="1">
      <c r="A5" t="inlineStr">
        <is>
          <t>A 22884-2023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45072</v>
      </c>
      <c r="E5" s="1" t="n">
        <v>46283</v>
      </c>
      <c r="F5" t="inlineStr">
        <is>
          <t>VÄSTRA GÖTALANDS LÄN</t>
        </is>
      </c>
      <c r="G5" t="inlineStr">
        <is>
          <t>HERRLJUNGA</t>
        </is>
      </c>
      <c r="I5" t="n">
        <v>9.300000000000001</v>
      </c>
      <c r="J5" t="n">
        <v>1</v>
      </c>
      <c r="K5" t="n">
        <v>1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11</v>
      </c>
      <c r="U5" t="n">
        <v>11</v>
      </c>
      <c r="V5" s="2" t="inlineStr">
        <is>
          <t>Knärot
Västlig hakmossa</t>
        </is>
      </c>
      <c r="W5">
        <f>HYPERLINK("https://klasma.github.io/Logging_1466/artfynd/A 22884-2023 artfynd.xlsx", "A 22884-2023")</f>
        <v/>
      </c>
      <c r="X5">
        <f>HYPERLINK("https://klasma.github.io/Logging_1466/kartor/A 22884-2023 karta.png", "A 22884-2023")</f>
        <v/>
      </c>
      <c r="Y5">
        <f>HYPERLINK("https://klasma.github.io/Logging_1466/kartor_geotiff/A 22884-2023 georefererad karta.tif", "A 22884-2023")</f>
        <v/>
      </c>
      <c r="Z5">
        <f>HYPERLINK("https://klasma.github.io/Logging_1466/knärot/A 22884-2023 karta knärot.png", "A 22884-2023")</f>
        <v/>
      </c>
      <c r="AA5">
        <f>HYPERLINK("https://klasma.github.io/Logging_1466/klagomål/A 22884-2023 FSC-klagomål.docx", "A 22884-2023")</f>
        <v/>
      </c>
      <c r="AB5">
        <f>HYPERLINK("https://klasma.github.io/Logging_1466/klagomålsmail/A 22884-2023 FSC-klagomål mail.docx", "A 22884-2023")</f>
        <v/>
      </c>
      <c r="AC5">
        <f>HYPERLINK("https://klasma.github.io/Logging_1466/tillsyn/A 22884-2023 tillsynsbegäran.docx", "A 22884-2023")</f>
        <v/>
      </c>
      <c r="AD5">
        <f>HYPERLINK("https://klasma.github.io/Logging_1466/tillsynsmail/A 22884-2023 tillsynsbegäran mail.docx", "A 22884-2023")</f>
        <v/>
      </c>
    </row>
    <row r="6" ht="15" customHeight="1">
      <c r="A6" t="inlineStr">
        <is>
          <t>A 23098-2022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44719</v>
      </c>
      <c r="E6" s="1" t="n">
        <v>46283</v>
      </c>
      <c r="F6" t="inlineStr">
        <is>
          <t>VÄSTRA GÖTALANDS LÄN</t>
        </is>
      </c>
      <c r="G6" t="inlineStr">
        <is>
          <t>HERRLJUNGA</t>
        </is>
      </c>
      <c r="I6" t="n">
        <v>0.6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Svartvit flugsnappare</t>
        </is>
      </c>
      <c r="W6">
        <f>HYPERLINK("https://klasma.github.io/Logging_1466/artfynd/A 23098-2022 artfynd.xlsx", "A 23098-2022")</f>
        <v/>
      </c>
      <c r="X6">
        <f>HYPERLINK("https://klasma.github.io/Logging_1466/kartor/A 23098-2022 karta.png", "A 23098-2022")</f>
        <v/>
      </c>
      <c r="Y6">
        <f>HYPERLINK("https://klasma.github.io/Logging_1466/kartor_geotiff/A 23098-2022 georefererad karta.tif", "A 23098-2022")</f>
        <v/>
      </c>
      <c r="AA6">
        <f>HYPERLINK("https://klasma.github.io/Logging_1466/klagomål/A 23098-2022 FSC-klagomål.docx", "A 23098-2022")</f>
        <v/>
      </c>
      <c r="AB6">
        <f>HYPERLINK("https://klasma.github.io/Logging_1466/klagomålsmail/A 23098-2022 FSC-klagomål mail.docx", "A 23098-2022")</f>
        <v/>
      </c>
      <c r="AC6">
        <f>HYPERLINK("https://klasma.github.io/Logging_1466/tillsyn/A 23098-2022 tillsynsbegäran.docx", "A 23098-2022")</f>
        <v/>
      </c>
      <c r="AD6">
        <f>HYPERLINK("https://klasma.github.io/Logging_1466/tillsynsmail/A 23098-2022 tillsynsbegäran mail.docx", "A 23098-2022")</f>
        <v/>
      </c>
    </row>
    <row r="7" ht="15" customHeight="1">
      <c r="A7" t="inlineStr">
        <is>
          <t>A 14138-2026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46099</v>
      </c>
      <c r="E7" s="1" t="n">
        <v>46283</v>
      </c>
      <c r="F7" t="inlineStr">
        <is>
          <t>VÄSTRA GÖTALANDS LÄN</t>
        </is>
      </c>
      <c r="G7" t="inlineStr">
        <is>
          <t>HERRLJUNGA</t>
        </is>
      </c>
      <c r="I7" t="n">
        <v>4.9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Rödvingetrast</t>
        </is>
      </c>
      <c r="W7">
        <f>HYPERLINK("https://klasma.github.io/Logging_1466/artfynd/A 14138-2026 artfynd.xlsx", "A 14138-2026")</f>
        <v/>
      </c>
      <c r="X7">
        <f>HYPERLINK("https://klasma.github.io/Logging_1466/kartor/A 14138-2026 karta.png", "A 14138-2026")</f>
        <v/>
      </c>
      <c r="Y7">
        <f>HYPERLINK("https://klasma.github.io/Logging_1466/kartor_geotiff/A 14138-2026 georefererad karta.tif", "A 14138-2026")</f>
        <v/>
      </c>
      <c r="AA7">
        <f>HYPERLINK("https://klasma.github.io/Logging_1466/klagomål/A 14138-2026 FSC-klagomål.docx", "A 14138-2026")</f>
        <v/>
      </c>
      <c r="AB7">
        <f>HYPERLINK("https://klasma.github.io/Logging_1466/klagomålsmail/A 14138-2026 FSC-klagomål mail.docx", "A 14138-2026")</f>
        <v/>
      </c>
      <c r="AC7">
        <f>HYPERLINK("https://klasma.github.io/Logging_1466/tillsyn/A 14138-2026 tillsynsbegäran.docx", "A 14138-2026")</f>
        <v/>
      </c>
      <c r="AD7">
        <f>HYPERLINK("https://klasma.github.io/Logging_1466/tillsynsmail/A 14138-2026 tillsynsbegäran mail.docx", "A 14138-2026")</f>
        <v/>
      </c>
      <c r="AE7">
        <f>HYPERLINK("https://klasma.github.io/Logging_1466/fåglar/A 14138-2026 prioriterade fågelarter.docx", "A 14138-2026")</f>
        <v/>
      </c>
    </row>
    <row r="8" ht="15" customHeight="1">
      <c r="A8" t="inlineStr">
        <is>
          <t>A 23101-2022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44719</v>
      </c>
      <c r="E8" s="1" t="n">
        <v>46283</v>
      </c>
      <c r="F8" t="inlineStr">
        <is>
          <t>VÄSTRA GÖTALANDS LÄN</t>
        </is>
      </c>
      <c r="G8" t="inlineStr">
        <is>
          <t>HERRLJUNGA</t>
        </is>
      </c>
      <c r="I8" t="n">
        <v>0.9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1</v>
      </c>
      <c r="V8" s="2" t="inlineStr">
        <is>
          <t>Igelkott</t>
        </is>
      </c>
      <c r="W8">
        <f>HYPERLINK("https://klasma.github.io/Logging_1466/artfynd/A 23101-2022 artfynd.xlsx", "A 23101-2022")</f>
        <v/>
      </c>
      <c r="X8">
        <f>HYPERLINK("https://klasma.github.io/Logging_1466/kartor/A 23101-2022 karta.png", "A 23101-2022")</f>
        <v/>
      </c>
      <c r="Y8">
        <f>HYPERLINK("https://klasma.github.io/Logging_1466/kartor_geotiff/A 23101-2022 georefererad karta.tif", "A 23101-2022")</f>
        <v/>
      </c>
      <c r="AA8">
        <f>HYPERLINK("https://klasma.github.io/Logging_1466/klagomål/A 23101-2022 FSC-klagomål.docx", "A 23101-2022")</f>
        <v/>
      </c>
      <c r="AB8">
        <f>HYPERLINK("https://klasma.github.io/Logging_1466/klagomålsmail/A 23101-2022 FSC-klagomål mail.docx", "A 23101-2022")</f>
        <v/>
      </c>
      <c r="AC8">
        <f>HYPERLINK("https://klasma.github.io/Logging_1466/tillsyn/A 23101-2022 tillsynsbegäran.docx", "A 23101-2022")</f>
        <v/>
      </c>
      <c r="AD8">
        <f>HYPERLINK("https://klasma.github.io/Logging_1466/tillsynsmail/A 23101-2022 tillsynsbegäran mail.docx", "A 23101-2022")</f>
        <v/>
      </c>
    </row>
    <row r="9" ht="15" customHeight="1">
      <c r="A9" t="inlineStr">
        <is>
          <t>A 58703-2022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44895</v>
      </c>
      <c r="E9" s="1" t="n">
        <v>46283</v>
      </c>
      <c r="F9" t="inlineStr">
        <is>
          <t>VÄSTRA GÖTALANDS LÄN</t>
        </is>
      </c>
      <c r="G9" t="inlineStr">
        <is>
          <t>HERRLJUNGA</t>
        </is>
      </c>
      <c r="I9" t="n">
        <v>5.2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1</v>
      </c>
      <c r="V9" s="2" t="inlineStr">
        <is>
          <t>Igelkott</t>
        </is>
      </c>
      <c r="W9">
        <f>HYPERLINK("https://klasma.github.io/Logging_1466/artfynd/A 58703-2022 artfynd.xlsx", "A 58703-2022")</f>
        <v/>
      </c>
      <c r="X9">
        <f>HYPERLINK("https://klasma.github.io/Logging_1466/kartor/A 58703-2022 karta.png", "A 58703-2022")</f>
        <v/>
      </c>
      <c r="Y9">
        <f>HYPERLINK("https://klasma.github.io/Logging_1466/kartor_geotiff/A 58703-2022 georefererad karta.tif", "A 58703-2022")</f>
        <v/>
      </c>
      <c r="AA9">
        <f>HYPERLINK("https://klasma.github.io/Logging_1466/klagomål/A 58703-2022 FSC-klagomål.docx", "A 58703-2022")</f>
        <v/>
      </c>
      <c r="AB9">
        <f>HYPERLINK("https://klasma.github.io/Logging_1466/klagomålsmail/A 58703-2022 FSC-klagomål mail.docx", "A 58703-2022")</f>
        <v/>
      </c>
      <c r="AC9">
        <f>HYPERLINK("https://klasma.github.io/Logging_1466/tillsyn/A 58703-2022 tillsynsbegäran.docx", "A 58703-2022")</f>
        <v/>
      </c>
      <c r="AD9">
        <f>HYPERLINK("https://klasma.github.io/Logging_1466/tillsynsmail/A 58703-2022 tillsynsbegäran mail.docx", "A 58703-2022")</f>
        <v/>
      </c>
    </row>
    <row r="10" ht="15" customHeight="1">
      <c r="A10" t="inlineStr">
        <is>
          <t>A 17817-2024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45418</v>
      </c>
      <c r="E10" s="1" t="n">
        <v>46283</v>
      </c>
      <c r="F10" t="inlineStr">
        <is>
          <t>VÄSTRA GÖTALANDS LÄN</t>
        </is>
      </c>
      <c r="G10" t="inlineStr">
        <is>
          <t>HERRLJUNGA</t>
        </is>
      </c>
      <c r="I10" t="n">
        <v>5.5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Platt fjädermossa</t>
        </is>
      </c>
      <c r="W10">
        <f>HYPERLINK("https://klasma.github.io/Logging_1466/artfynd/A 17817-2024 artfynd.xlsx", "A 17817-2024")</f>
        <v/>
      </c>
      <c r="X10">
        <f>HYPERLINK("https://klasma.github.io/Logging_1466/kartor/A 17817-2024 karta.png", "A 17817-2024")</f>
        <v/>
      </c>
      <c r="Y10">
        <f>HYPERLINK("https://klasma.github.io/Logging_1466/kartor_geotiff/A 17817-2024 georefererad karta.tif", "A 17817-2024")</f>
        <v/>
      </c>
      <c r="AA10">
        <f>HYPERLINK("https://klasma.github.io/Logging_1466/klagomål/A 17817-2024 FSC-klagomål.docx", "A 17817-2024")</f>
        <v/>
      </c>
      <c r="AB10">
        <f>HYPERLINK("https://klasma.github.io/Logging_1466/klagomålsmail/A 17817-2024 FSC-klagomål mail.docx", "A 17817-2024")</f>
        <v/>
      </c>
      <c r="AC10">
        <f>HYPERLINK("https://klasma.github.io/Logging_1466/tillsyn/A 17817-2024 tillsynsbegäran.docx", "A 17817-2024")</f>
        <v/>
      </c>
      <c r="AD10">
        <f>HYPERLINK("https://klasma.github.io/Logging_1466/tillsynsmail/A 17817-2024 tillsynsbegäran mail.docx", "A 17817-2024")</f>
        <v/>
      </c>
    </row>
    <row r="11" ht="15" customHeight="1">
      <c r="A11" t="inlineStr">
        <is>
          <t>S 849-2024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45373</v>
      </c>
      <c r="E11" s="1" t="n">
        <v>46283</v>
      </c>
      <c r="F11" t="inlineStr">
        <is>
          <t>VÄSTRA GÖTALANDS LÄN</t>
        </is>
      </c>
      <c r="G11" t="inlineStr">
        <is>
          <t>HERRLJUNGA</t>
        </is>
      </c>
      <c r="I11" t="n">
        <v>9.5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Svinrot</t>
        </is>
      </c>
      <c r="W11">
        <f>HYPERLINK("https://klasma.github.io/Logging_1466/artfynd/S 849-2024 artfynd.xlsx", "S 849-2024")</f>
        <v/>
      </c>
      <c r="X11">
        <f>HYPERLINK("https://klasma.github.io/Logging_1466/kartor/S 849-2024 karta.png", "S 849-2024")</f>
        <v/>
      </c>
      <c r="Y11">
        <f>HYPERLINK("https://klasma.github.io/Logging_1466/kartor_geotiff/S 849-2024 georefererad karta.tif", "S 849-2024")</f>
        <v/>
      </c>
      <c r="AA11">
        <f>HYPERLINK("https://klasma.github.io/Logging_1466/klagomål/S 849-2024 FSC-klagomål.docx", "S 849-2024")</f>
        <v/>
      </c>
      <c r="AB11">
        <f>HYPERLINK("https://klasma.github.io/Logging_1466/klagomålsmail/S 849-2024 FSC-klagomål mail.docx", "S 849-2024")</f>
        <v/>
      </c>
      <c r="AC11">
        <f>HYPERLINK("https://klasma.github.io/Logging_1466/tillsyn/S 849-2024 tillsynsbegäran.docx", "S 849-2024")</f>
        <v/>
      </c>
      <c r="AD11">
        <f>HYPERLINK("https://klasma.github.io/Logging_1466/tillsynsmail/S 849-2024 tillsynsbegäran mail.docx", "S 849-2024")</f>
        <v/>
      </c>
    </row>
    <row r="12" ht="15" customHeight="1">
      <c r="A12" t="inlineStr">
        <is>
          <t>S 811-2024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45371</v>
      </c>
      <c r="E12" s="1" t="n">
        <v>46283</v>
      </c>
      <c r="F12" t="inlineStr">
        <is>
          <t>VÄSTRA GÖTALANDS LÄN</t>
        </is>
      </c>
      <c r="G12" t="inlineStr">
        <is>
          <t>HERRLJUNGA</t>
        </is>
      </c>
      <c r="I12" t="n">
        <v>4.3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Svinrot</t>
        </is>
      </c>
      <c r="W12">
        <f>HYPERLINK("https://klasma.github.io/Logging_1466/artfynd/S 811-2024 artfynd.xlsx", "S 811-2024")</f>
        <v/>
      </c>
      <c r="X12">
        <f>HYPERLINK("https://klasma.github.io/Logging_1466/kartor/S 811-2024 karta.png", "S 811-2024")</f>
        <v/>
      </c>
      <c r="Y12">
        <f>HYPERLINK("https://klasma.github.io/Logging_1466/kartor_geotiff/S 811-2024 georefererad karta.tif", "S 811-2024")</f>
        <v/>
      </c>
      <c r="AA12">
        <f>HYPERLINK("https://klasma.github.io/Logging_1466/klagomål/S 811-2024 FSC-klagomål.docx", "S 811-2024")</f>
        <v/>
      </c>
      <c r="AB12">
        <f>HYPERLINK("https://klasma.github.io/Logging_1466/klagomålsmail/S 811-2024 FSC-klagomål mail.docx", "S 811-2024")</f>
        <v/>
      </c>
      <c r="AC12">
        <f>HYPERLINK("https://klasma.github.io/Logging_1466/tillsyn/S 811-2024 tillsynsbegäran.docx", "S 811-2024")</f>
        <v/>
      </c>
      <c r="AD12">
        <f>HYPERLINK("https://klasma.github.io/Logging_1466/tillsynsmail/S 811-2024 tillsynsbegäran mail.docx", "S 811-2024")</f>
        <v/>
      </c>
    </row>
    <row r="13" ht="15" customHeight="1">
      <c r="A13" t="inlineStr">
        <is>
          <t>A 53261-2022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44876</v>
      </c>
      <c r="E13" s="1" t="n">
        <v>46283</v>
      </c>
      <c r="F13" t="inlineStr">
        <is>
          <t>VÄSTRA GÖTALANDS LÄN</t>
        </is>
      </c>
      <c r="G13" t="inlineStr">
        <is>
          <t>HERRLJUNGA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68549-2021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44529</v>
      </c>
      <c r="E14" s="1" t="n">
        <v>46283</v>
      </c>
      <c r="F14" t="inlineStr">
        <is>
          <t>VÄSTRA GÖTALANDS LÄN</t>
        </is>
      </c>
      <c r="G14" t="inlineStr">
        <is>
          <t>HERRLJUNGA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67926-2021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44525</v>
      </c>
      <c r="E15" s="1" t="n">
        <v>46283</v>
      </c>
      <c r="F15" t="inlineStr">
        <is>
          <t>VÄSTRA GÖTALANDS LÄN</t>
        </is>
      </c>
      <c r="G15" t="inlineStr">
        <is>
          <t>HERRLJUNGA</t>
        </is>
      </c>
      <c r="I15" t="n">
        <v>1.4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60851-2021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44497</v>
      </c>
      <c r="E16" s="1" t="n">
        <v>46283</v>
      </c>
      <c r="F16" t="inlineStr">
        <is>
          <t>VÄSTRA GÖTALANDS LÄN</t>
        </is>
      </c>
      <c r="G16" t="inlineStr">
        <is>
          <t>HERRLJUNGA</t>
        </is>
      </c>
      <c r="I16" t="n">
        <v>1.9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54510-2021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44473</v>
      </c>
      <c r="E17" s="1" t="n">
        <v>46283</v>
      </c>
      <c r="F17" t="inlineStr">
        <is>
          <t>VÄSTRA GÖTALANDS LÄN</t>
        </is>
      </c>
      <c r="G17" t="inlineStr">
        <is>
          <t>HERRLJUNGA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70103-2021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44533</v>
      </c>
      <c r="E18" s="1" t="n">
        <v>46283</v>
      </c>
      <c r="F18" t="inlineStr">
        <is>
          <t>VÄSTRA GÖTALANDS LÄN</t>
        </is>
      </c>
      <c r="G18" t="inlineStr">
        <is>
          <t>HERRLJUNGA</t>
        </is>
      </c>
      <c r="I18" t="n">
        <v>2.2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60406-2021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44496</v>
      </c>
      <c r="E19" s="1" t="n">
        <v>46283</v>
      </c>
      <c r="F19" t="inlineStr">
        <is>
          <t>VÄSTRA GÖTALANDS LÄN</t>
        </is>
      </c>
      <c r="G19" t="inlineStr">
        <is>
          <t>HERRLJUNGA</t>
        </is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54914-2021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44474</v>
      </c>
      <c r="E20" s="1" t="n">
        <v>46283</v>
      </c>
      <c r="F20" t="inlineStr">
        <is>
          <t>VÄSTRA GÖTALANDS LÄN</t>
        </is>
      </c>
      <c r="G20" t="inlineStr">
        <is>
          <t>HERRLJUNGA</t>
        </is>
      </c>
      <c r="I20" t="n">
        <v>2.2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54920-2021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44474</v>
      </c>
      <c r="E21" s="1" t="n">
        <v>46283</v>
      </c>
      <c r="F21" t="inlineStr">
        <is>
          <t>VÄSTRA GÖTALANDS LÄN</t>
        </is>
      </c>
      <c r="G21" t="inlineStr">
        <is>
          <t>HERRLJUNGA</t>
        </is>
      </c>
      <c r="I21" t="n">
        <v>0.9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29672-2022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44754</v>
      </c>
      <c r="E22" s="1" t="n">
        <v>46283</v>
      </c>
      <c r="F22" t="inlineStr">
        <is>
          <t>VÄSTRA GÖTALANDS LÄN</t>
        </is>
      </c>
      <c r="G22" t="inlineStr">
        <is>
          <t>HERRLJUNGA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15392-2022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44659</v>
      </c>
      <c r="E23" s="1" t="n">
        <v>46283</v>
      </c>
      <c r="F23" t="inlineStr">
        <is>
          <t>VÄSTRA GÖTALANDS LÄN</t>
        </is>
      </c>
      <c r="G23" t="inlineStr">
        <is>
          <t>HERRLJUNGA</t>
        </is>
      </c>
      <c r="I23" t="n">
        <v>1.2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33957-2022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44790</v>
      </c>
      <c r="E24" s="1" t="n">
        <v>46283</v>
      </c>
      <c r="F24" t="inlineStr">
        <is>
          <t>VÄSTRA GÖTALANDS LÄN</t>
        </is>
      </c>
      <c r="G24" t="inlineStr">
        <is>
          <t>HERRLJUNGA</t>
        </is>
      </c>
      <c r="I24" t="n">
        <v>0.8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55826-2021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44476</v>
      </c>
      <c r="E25" s="1" t="n">
        <v>46283</v>
      </c>
      <c r="F25" t="inlineStr">
        <is>
          <t>VÄSTRA GÖTALANDS LÄN</t>
        </is>
      </c>
      <c r="G25" t="inlineStr">
        <is>
          <t>HERRLJUNGA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60402-2021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44496</v>
      </c>
      <c r="E26" s="1" t="n">
        <v>46283</v>
      </c>
      <c r="F26" t="inlineStr">
        <is>
          <t>VÄSTRA GÖTALANDS LÄN</t>
        </is>
      </c>
      <c r="G26" t="inlineStr">
        <is>
          <t>HERRLJUNGA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33963-2022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44790</v>
      </c>
      <c r="E27" s="1" t="n">
        <v>46283</v>
      </c>
      <c r="F27" t="inlineStr">
        <is>
          <t>VÄSTRA GÖTALANDS LÄN</t>
        </is>
      </c>
      <c r="G27" t="inlineStr">
        <is>
          <t>HERRLJUNGA</t>
        </is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6604-2022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44601</v>
      </c>
      <c r="E28" s="1" t="n">
        <v>46283</v>
      </c>
      <c r="F28" t="inlineStr">
        <is>
          <t>VÄSTRA GÖTALANDS LÄN</t>
        </is>
      </c>
      <c r="G28" t="inlineStr">
        <is>
          <t>HERRLJUNGA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31598-2022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44775</v>
      </c>
      <c r="E29" s="1" t="n">
        <v>46283</v>
      </c>
      <c r="F29" t="inlineStr">
        <is>
          <t>VÄSTRA GÖTALANDS LÄN</t>
        </is>
      </c>
      <c r="G29" t="inlineStr">
        <is>
          <t>HERRLJUNGA</t>
        </is>
      </c>
      <c r="I29" t="n">
        <v>5.8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51197-2022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44868</v>
      </c>
      <c r="E30" s="1" t="n">
        <v>46283</v>
      </c>
      <c r="F30" t="inlineStr">
        <is>
          <t>VÄSTRA GÖTALANDS LÄN</t>
        </is>
      </c>
      <c r="G30" t="inlineStr">
        <is>
          <t>HERRLJUNGA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12488-2022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44638</v>
      </c>
      <c r="E31" s="1" t="n">
        <v>46283</v>
      </c>
      <c r="F31" t="inlineStr">
        <is>
          <t>VÄSTRA GÖTALANDS LÄN</t>
        </is>
      </c>
      <c r="G31" t="inlineStr">
        <is>
          <t>HERRLJUNGA</t>
        </is>
      </c>
      <c r="I31" t="n">
        <v>0.5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43273-2022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44834</v>
      </c>
      <c r="E32" s="1" t="n">
        <v>46283</v>
      </c>
      <c r="F32" t="inlineStr">
        <is>
          <t>VÄSTRA GÖTALANDS LÄN</t>
        </is>
      </c>
      <c r="G32" t="inlineStr">
        <is>
          <t>HERRLJUNGA</t>
        </is>
      </c>
      <c r="I32" t="n">
        <v>1.4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62165-2021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44502</v>
      </c>
      <c r="E33" s="1" t="n">
        <v>46283</v>
      </c>
      <c r="F33" t="inlineStr">
        <is>
          <t>VÄSTRA GÖTALANDS LÄN</t>
        </is>
      </c>
      <c r="G33" t="inlineStr">
        <is>
          <t>HERRLJUNGA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66525-2021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44519</v>
      </c>
      <c r="E34" s="1" t="n">
        <v>46283</v>
      </c>
      <c r="F34" t="inlineStr">
        <is>
          <t>VÄSTRA GÖTALANDS LÄN</t>
        </is>
      </c>
      <c r="G34" t="inlineStr">
        <is>
          <t>HERRLJUNGA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42508-2022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44831</v>
      </c>
      <c r="E35" s="1" t="n">
        <v>46283</v>
      </c>
      <c r="F35" t="inlineStr">
        <is>
          <t>VÄSTRA GÖTALANDS LÄN</t>
        </is>
      </c>
      <c r="G35" t="inlineStr">
        <is>
          <t>HERRLJUNGA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2824-2022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44581</v>
      </c>
      <c r="E36" s="1" t="n">
        <v>46283</v>
      </c>
      <c r="F36" t="inlineStr">
        <is>
          <t>VÄSTRA GÖTALANDS LÄN</t>
        </is>
      </c>
      <c r="G36" t="inlineStr">
        <is>
          <t>HERRLJUNGA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43934-2022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46283</v>
      </c>
      <c r="F37" t="inlineStr">
        <is>
          <t>VÄSTRA GÖTALANDS LÄN</t>
        </is>
      </c>
      <c r="G37" t="inlineStr">
        <is>
          <t>HERRLJUNGA</t>
        </is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28550-2022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44748</v>
      </c>
      <c r="E38" s="1" t="n">
        <v>46283</v>
      </c>
      <c r="F38" t="inlineStr">
        <is>
          <t>VÄSTRA GÖTALANDS LÄN</t>
        </is>
      </c>
      <c r="G38" t="inlineStr">
        <is>
          <t>HERRLJUNGA</t>
        </is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46454-2022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44847</v>
      </c>
      <c r="E39" s="1" t="n">
        <v>46283</v>
      </c>
      <c r="F39" t="inlineStr">
        <is>
          <t>VÄSTRA GÖTALANDS LÄN</t>
        </is>
      </c>
      <c r="G39" t="inlineStr">
        <is>
          <t>HERRLJUNGA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70980-2021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44538</v>
      </c>
      <c r="E40" s="1" t="n">
        <v>46283</v>
      </c>
      <c r="F40" t="inlineStr">
        <is>
          <t>VÄSTRA GÖTALANDS LÄN</t>
        </is>
      </c>
      <c r="G40" t="inlineStr">
        <is>
          <t>HERRLJUNGA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7967-2024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45350</v>
      </c>
      <c r="E41" s="1" t="n">
        <v>46283</v>
      </c>
      <c r="F41" t="inlineStr">
        <is>
          <t>VÄSTRA GÖTALANDS LÄN</t>
        </is>
      </c>
      <c r="G41" t="inlineStr">
        <is>
          <t>HERRLJUNGA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34952-2024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45527</v>
      </c>
      <c r="E42" s="1" t="n">
        <v>46283</v>
      </c>
      <c r="F42" t="inlineStr">
        <is>
          <t>VÄSTRA GÖTALANDS LÄN</t>
        </is>
      </c>
      <c r="G42" t="inlineStr">
        <is>
          <t>HERRLJUNGA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5829-2024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45335</v>
      </c>
      <c r="E43" s="1" t="n">
        <v>46283</v>
      </c>
      <c r="F43" t="inlineStr">
        <is>
          <t>VÄSTRA GÖTALANDS LÄN</t>
        </is>
      </c>
      <c r="G43" t="inlineStr">
        <is>
          <t>HERRLJUNGA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62279-2023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45266</v>
      </c>
      <c r="E44" s="1" t="n">
        <v>46283</v>
      </c>
      <c r="F44" t="inlineStr">
        <is>
          <t>VÄSTRA GÖTALANDS LÄN</t>
        </is>
      </c>
      <c r="G44" t="inlineStr">
        <is>
          <t>HERRLJUNGA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37910-2022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44811</v>
      </c>
      <c r="E45" s="1" t="n">
        <v>46283</v>
      </c>
      <c r="F45" t="inlineStr">
        <is>
          <t>VÄSTRA GÖTALANDS LÄN</t>
        </is>
      </c>
      <c r="G45" t="inlineStr">
        <is>
          <t>HERRLJUNGA</t>
        </is>
      </c>
      <c r="I45" t="n">
        <v>4.9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57963-2022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44900</v>
      </c>
      <c r="E46" s="1" t="n">
        <v>46283</v>
      </c>
      <c r="F46" t="inlineStr">
        <is>
          <t>VÄSTRA GÖTALANDS LÄN</t>
        </is>
      </c>
      <c r="G46" t="inlineStr">
        <is>
          <t>HERRLJUNGA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18427-2024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45425</v>
      </c>
      <c r="E47" s="1" t="n">
        <v>46283</v>
      </c>
      <c r="F47" t="inlineStr">
        <is>
          <t>VÄSTRA GÖTALANDS LÄN</t>
        </is>
      </c>
      <c r="G47" t="inlineStr">
        <is>
          <t>HERRLJUNGA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46113-2022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44847</v>
      </c>
      <c r="E48" s="1" t="n">
        <v>46283</v>
      </c>
      <c r="F48" t="inlineStr">
        <is>
          <t>VÄSTRA GÖTALANDS LÄN</t>
        </is>
      </c>
      <c r="G48" t="inlineStr">
        <is>
          <t>HERRLJUNGA</t>
        </is>
      </c>
      <c r="H48" t="inlineStr">
        <is>
          <t>Sveaskog</t>
        </is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11625-2024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45373</v>
      </c>
      <c r="E49" s="1" t="n">
        <v>46283</v>
      </c>
      <c r="F49" t="inlineStr">
        <is>
          <t>VÄSTRA GÖTALANDS LÄN</t>
        </is>
      </c>
      <c r="G49" t="inlineStr">
        <is>
          <t>HERRLJUNGA</t>
        </is>
      </c>
      <c r="I49" t="n">
        <v>8.5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10297-2024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45365</v>
      </c>
      <c r="E50" s="1" t="n">
        <v>46283</v>
      </c>
      <c r="F50" t="inlineStr">
        <is>
          <t>VÄSTRA GÖTALANDS LÄN</t>
        </is>
      </c>
      <c r="G50" t="inlineStr">
        <is>
          <t>HERRLJUNGA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46283</v>
      </c>
      <c r="F51" t="inlineStr">
        <is>
          <t>VÄSTRA GÖTALANDS LÄN</t>
        </is>
      </c>
      <c r="G51" t="inlineStr">
        <is>
          <t>HERRLJUNGA</t>
        </is>
      </c>
      <c r="H51" t="inlineStr">
        <is>
          <t>Kyrkan</t>
        </is>
      </c>
      <c r="I51" t="n">
        <v>2.3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26224-2024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45468</v>
      </c>
      <c r="E52" s="1" t="n">
        <v>46283</v>
      </c>
      <c r="F52" t="inlineStr">
        <is>
          <t>VÄSTRA GÖTALANDS LÄN</t>
        </is>
      </c>
      <c r="G52" t="inlineStr">
        <is>
          <t>HERRLJUNGA</t>
        </is>
      </c>
      <c r="I52" t="n">
        <v>0.5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29159-2024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45482</v>
      </c>
      <c r="E53" s="1" t="n">
        <v>46283</v>
      </c>
      <c r="F53" t="inlineStr">
        <is>
          <t>VÄSTRA GÖTALANDS LÄN</t>
        </is>
      </c>
      <c r="G53" t="inlineStr">
        <is>
          <t>HERRLJUNGA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9834-2023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44984</v>
      </c>
      <c r="E54" s="1" t="n">
        <v>46283</v>
      </c>
      <c r="F54" t="inlineStr">
        <is>
          <t>VÄSTRA GÖTALANDS LÄN</t>
        </is>
      </c>
      <c r="G54" t="inlineStr">
        <is>
          <t>HERRLJUNGA</t>
        </is>
      </c>
      <c r="I54" t="n">
        <v>3.8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69968-2021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44533</v>
      </c>
      <c r="E55" s="1" t="n">
        <v>46283</v>
      </c>
      <c r="F55" t="inlineStr">
        <is>
          <t>VÄSTRA GÖTALANDS LÄN</t>
        </is>
      </c>
      <c r="G55" t="inlineStr">
        <is>
          <t>HERRLJUNGA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2204-2023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44942</v>
      </c>
      <c r="E56" s="1" t="n">
        <v>46283</v>
      </c>
      <c r="F56" t="inlineStr">
        <is>
          <t>VÄSTRA GÖTALANDS LÄN</t>
        </is>
      </c>
      <c r="G56" t="inlineStr">
        <is>
          <t>HERRLJUNGA</t>
        </is>
      </c>
      <c r="I56" t="n">
        <v>2.8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38069-2023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45160</v>
      </c>
      <c r="E57" s="1" t="n">
        <v>46283</v>
      </c>
      <c r="F57" t="inlineStr">
        <is>
          <t>VÄSTRA GÖTALANDS LÄN</t>
        </is>
      </c>
      <c r="G57" t="inlineStr">
        <is>
          <t>HERRLJUNGA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63735-2023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45277</v>
      </c>
      <c r="E58" s="1" t="n">
        <v>46283</v>
      </c>
      <c r="F58" t="inlineStr">
        <is>
          <t>VÄSTRA GÖTALANDS LÄN</t>
        </is>
      </c>
      <c r="G58" t="inlineStr">
        <is>
          <t>HERRLJUNGA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28145-2024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45476</v>
      </c>
      <c r="E59" s="1" t="n">
        <v>46283</v>
      </c>
      <c r="F59" t="inlineStr">
        <is>
          <t>VÄSTRA GÖTALANDS LÄN</t>
        </is>
      </c>
      <c r="G59" t="inlineStr">
        <is>
          <t>HERRLJUNGA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53554-2024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45614</v>
      </c>
      <c r="E60" s="1" t="n">
        <v>46283</v>
      </c>
      <c r="F60" t="inlineStr">
        <is>
          <t>VÄSTRA GÖTALANDS LÄN</t>
        </is>
      </c>
      <c r="G60" t="inlineStr">
        <is>
          <t>HERRLJUNGA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13298-2023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45005</v>
      </c>
      <c r="E61" s="1" t="n">
        <v>46283</v>
      </c>
      <c r="F61" t="inlineStr">
        <is>
          <t>VÄSTRA GÖTALANDS LÄN</t>
        </is>
      </c>
      <c r="G61" t="inlineStr">
        <is>
          <t>HERRLJUNGA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16605-2023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45030</v>
      </c>
      <c r="E62" s="1" t="n">
        <v>46283</v>
      </c>
      <c r="F62" t="inlineStr">
        <is>
          <t>VÄSTRA GÖTALANDS LÄN</t>
        </is>
      </c>
      <c r="G62" t="inlineStr">
        <is>
          <t>HERRLJUNGA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1390-2024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45303</v>
      </c>
      <c r="E63" s="1" t="n">
        <v>46283</v>
      </c>
      <c r="F63" t="inlineStr">
        <is>
          <t>VÄSTRA GÖTALANDS LÄN</t>
        </is>
      </c>
      <c r="G63" t="inlineStr">
        <is>
          <t>HERRLJUNGA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62015-2022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44918</v>
      </c>
      <c r="E64" s="1" t="n">
        <v>46283</v>
      </c>
      <c r="F64" t="inlineStr">
        <is>
          <t>VÄSTRA GÖTALANDS LÄN</t>
        </is>
      </c>
      <c r="G64" t="inlineStr">
        <is>
          <t>HERRLJUNGA</t>
        </is>
      </c>
      <c r="I64" t="n">
        <v>4.9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15801-2023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45021</v>
      </c>
      <c r="E65" s="1" t="n">
        <v>46283</v>
      </c>
      <c r="F65" t="inlineStr">
        <is>
          <t>VÄSTRA GÖTALANDS LÄN</t>
        </is>
      </c>
      <c r="G65" t="inlineStr">
        <is>
          <t>HERRLJUNGA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15645-2023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45021</v>
      </c>
      <c r="E66" s="1" t="n">
        <v>46283</v>
      </c>
      <c r="F66" t="inlineStr">
        <is>
          <t>VÄSTRA GÖTALANDS LÄN</t>
        </is>
      </c>
      <c r="G66" t="inlineStr">
        <is>
          <t>HERRLJUNGA</t>
        </is>
      </c>
      <c r="I66" t="n">
        <v>1.7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61769-2022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44917</v>
      </c>
      <c r="E67" s="1" t="n">
        <v>46283</v>
      </c>
      <c r="F67" t="inlineStr">
        <is>
          <t>VÄSTRA GÖTALANDS LÄN</t>
        </is>
      </c>
      <c r="G67" t="inlineStr">
        <is>
          <t>HERRLJUNGA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455-2025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45664</v>
      </c>
      <c r="E68" s="1" t="n">
        <v>46283</v>
      </c>
      <c r="F68" t="inlineStr">
        <is>
          <t>VÄSTRA GÖTALANDS LÄN</t>
        </is>
      </c>
      <c r="G68" t="inlineStr">
        <is>
          <t>HERRLJUNGA</t>
        </is>
      </c>
      <c r="H68" t="inlineStr">
        <is>
          <t>Kyrkan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13297-2023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45005</v>
      </c>
      <c r="E69" s="1" t="n">
        <v>46283</v>
      </c>
      <c r="F69" t="inlineStr">
        <is>
          <t>VÄSTRA GÖTALANDS LÄN</t>
        </is>
      </c>
      <c r="G69" t="inlineStr">
        <is>
          <t>HERRLJUNGA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6231-2024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45337</v>
      </c>
      <c r="E70" s="1" t="n">
        <v>46283</v>
      </c>
      <c r="F70" t="inlineStr">
        <is>
          <t>VÄSTRA GÖTALANDS LÄN</t>
        </is>
      </c>
      <c r="G70" t="inlineStr">
        <is>
          <t>HERRLJUNGA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3664-2023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44950</v>
      </c>
      <c r="E71" s="1" t="n">
        <v>46283</v>
      </c>
      <c r="F71" t="inlineStr">
        <is>
          <t>VÄSTRA GÖTALANDS LÄN</t>
        </is>
      </c>
      <c r="G71" t="inlineStr">
        <is>
          <t>HERRLJUNGA</t>
        </is>
      </c>
      <c r="I71" t="n">
        <v>4.5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40842-2023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45172</v>
      </c>
      <c r="E72" s="1" t="n">
        <v>46283</v>
      </c>
      <c r="F72" t="inlineStr">
        <is>
          <t>VÄSTRA GÖTALANDS LÄN</t>
        </is>
      </c>
      <c r="G72" t="inlineStr">
        <is>
          <t>HERRLJUNGA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42522-2024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45565</v>
      </c>
      <c r="E73" s="1" t="n">
        <v>46283</v>
      </c>
      <c r="F73" t="inlineStr">
        <is>
          <t>VÄSTRA GÖTALANDS LÄN</t>
        </is>
      </c>
      <c r="G73" t="inlineStr">
        <is>
          <t>HERRLJUNGA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49106-2022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44860</v>
      </c>
      <c r="E74" s="1" t="n">
        <v>46283</v>
      </c>
      <c r="F74" t="inlineStr">
        <is>
          <t>VÄSTRA GÖTALANDS LÄN</t>
        </is>
      </c>
      <c r="G74" t="inlineStr">
        <is>
          <t>HERRLJUNGA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34189-2023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45138</v>
      </c>
      <c r="E75" s="1" t="n">
        <v>46283</v>
      </c>
      <c r="F75" t="inlineStr">
        <is>
          <t>VÄSTRA GÖTALANDS LÄN</t>
        </is>
      </c>
      <c r="G75" t="inlineStr">
        <is>
          <t>HERRLJUNGA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9233-2026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46070</v>
      </c>
      <c r="E76" s="1" t="n">
        <v>46283</v>
      </c>
      <c r="F76" t="inlineStr">
        <is>
          <t>VÄSTRA GÖTALANDS LÄN</t>
        </is>
      </c>
      <c r="G76" t="inlineStr">
        <is>
          <t>HERRLJUNGA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9626-2026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46072</v>
      </c>
      <c r="E77" s="1" t="n">
        <v>46283</v>
      </c>
      <c r="F77" t="inlineStr">
        <is>
          <t>VÄSTRA GÖTALANDS LÄN</t>
        </is>
      </c>
      <c r="G77" t="inlineStr">
        <is>
          <t>HERRLJUNGA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9483-2026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46071</v>
      </c>
      <c r="E78" s="1" t="n">
        <v>46283</v>
      </c>
      <c r="F78" t="inlineStr">
        <is>
          <t>VÄSTRA GÖTALANDS LÄN</t>
        </is>
      </c>
      <c r="G78" t="inlineStr">
        <is>
          <t>HERRLJUNGA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9484-2026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46071</v>
      </c>
      <c r="E79" s="1" t="n">
        <v>46283</v>
      </c>
      <c r="F79" t="inlineStr">
        <is>
          <t>VÄSTRA GÖTALANDS LÄN</t>
        </is>
      </c>
      <c r="G79" t="inlineStr">
        <is>
          <t>HERRLJUNGA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12628-2025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45733</v>
      </c>
      <c r="E80" s="1" t="n">
        <v>46283</v>
      </c>
      <c r="F80" t="inlineStr">
        <is>
          <t>VÄSTRA GÖTALANDS LÄN</t>
        </is>
      </c>
      <c r="G80" t="inlineStr">
        <is>
          <t>HERRLJUNGA</t>
        </is>
      </c>
      <c r="H80" t="inlineStr">
        <is>
          <t>Sveaskog</t>
        </is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13598-2025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45736</v>
      </c>
      <c r="E81" s="1" t="n">
        <v>46283</v>
      </c>
      <c r="F81" t="inlineStr">
        <is>
          <t>VÄSTRA GÖTALANDS LÄN</t>
        </is>
      </c>
      <c r="G81" t="inlineStr">
        <is>
          <t>HERRLJUNGA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12033-2025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45728</v>
      </c>
      <c r="E82" s="1" t="n">
        <v>46283</v>
      </c>
      <c r="F82" t="inlineStr">
        <is>
          <t>VÄSTRA GÖTALANDS LÄN</t>
        </is>
      </c>
      <c r="G82" t="inlineStr">
        <is>
          <t>HERRLJUNGA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11425-2025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45726</v>
      </c>
      <c r="E83" s="1" t="n">
        <v>46283</v>
      </c>
      <c r="F83" t="inlineStr">
        <is>
          <t>VÄSTRA GÖTALANDS LÄN</t>
        </is>
      </c>
      <c r="G83" t="inlineStr">
        <is>
          <t>HERRLJUNGA</t>
        </is>
      </c>
      <c r="I83" t="n">
        <v>1.9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47360-2024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45587</v>
      </c>
      <c r="E84" s="1" t="n">
        <v>46283</v>
      </c>
      <c r="F84" t="inlineStr">
        <is>
          <t>VÄSTRA GÖTALANDS LÄN</t>
        </is>
      </c>
      <c r="G84" t="inlineStr">
        <is>
          <t>HERRLJUNGA</t>
        </is>
      </c>
      <c r="I84" t="n">
        <v>9.800000000000001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13596-2025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45736</v>
      </c>
      <c r="E85" s="1" t="n">
        <v>46283</v>
      </c>
      <c r="F85" t="inlineStr">
        <is>
          <t>VÄSTRA GÖTALANDS LÄN</t>
        </is>
      </c>
      <c r="G85" t="inlineStr">
        <is>
          <t>HERRLJUNGA</t>
        </is>
      </c>
      <c r="I85" t="n">
        <v>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30220-2025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45827</v>
      </c>
      <c r="E86" s="1" t="n">
        <v>46283</v>
      </c>
      <c r="F86" t="inlineStr">
        <is>
          <t>VÄSTRA GÖTALANDS LÄN</t>
        </is>
      </c>
      <c r="G86" t="inlineStr">
        <is>
          <t>HERRLJUNGA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34676-2024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45526</v>
      </c>
      <c r="E87" s="1" t="n">
        <v>46283</v>
      </c>
      <c r="F87" t="inlineStr">
        <is>
          <t>VÄSTRA GÖTALANDS LÄN</t>
        </is>
      </c>
      <c r="G87" t="inlineStr">
        <is>
          <t>HERRLJUNGA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34671-2024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45526</v>
      </c>
      <c r="E88" s="1" t="n">
        <v>46283</v>
      </c>
      <c r="F88" t="inlineStr">
        <is>
          <t>VÄSTRA GÖTALANDS LÄN</t>
        </is>
      </c>
      <c r="G88" t="inlineStr">
        <is>
          <t>HERRLJUNGA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11886-2025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45728</v>
      </c>
      <c r="E89" s="1" t="n">
        <v>46283</v>
      </c>
      <c r="F89" t="inlineStr">
        <is>
          <t>VÄSTRA GÖTALANDS LÄN</t>
        </is>
      </c>
      <c r="G89" t="inlineStr">
        <is>
          <t>HERRLJUNGA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11082-2026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46079</v>
      </c>
      <c r="E90" s="1" t="n">
        <v>46283</v>
      </c>
      <c r="F90" t="inlineStr">
        <is>
          <t>VÄSTRA GÖTALANDS LÄN</t>
        </is>
      </c>
      <c r="G90" t="inlineStr">
        <is>
          <t>HERRLJUNGA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31254-2025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46283</v>
      </c>
      <c r="F91" t="inlineStr">
        <is>
          <t>VÄSTRA GÖTALANDS LÄN</t>
        </is>
      </c>
      <c r="G91" t="inlineStr">
        <is>
          <t>HERRLJUNGA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31256-2025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45833</v>
      </c>
      <c r="E92" s="1" t="n">
        <v>46283</v>
      </c>
      <c r="F92" t="inlineStr">
        <is>
          <t>VÄSTRA GÖTALANDS LÄN</t>
        </is>
      </c>
      <c r="G92" t="inlineStr">
        <is>
          <t>HERRLJUNGA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31703-2025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45834</v>
      </c>
      <c r="E93" s="1" t="n">
        <v>46283</v>
      </c>
      <c r="F93" t="inlineStr">
        <is>
          <t>VÄSTRA GÖTALANDS LÄN</t>
        </is>
      </c>
      <c r="G93" t="inlineStr">
        <is>
          <t>HERRLJUNGA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17272-2025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45756</v>
      </c>
      <c r="E94" s="1" t="n">
        <v>46283</v>
      </c>
      <c r="F94" t="inlineStr">
        <is>
          <t>VÄSTRA GÖTALANDS LÄN</t>
        </is>
      </c>
      <c r="G94" t="inlineStr">
        <is>
          <t>HERRLJUNGA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18754-2025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46283</v>
      </c>
      <c r="F95" t="inlineStr">
        <is>
          <t>VÄSTRA GÖTALANDS LÄN</t>
        </is>
      </c>
      <c r="G95" t="inlineStr">
        <is>
          <t>HERRLJUNGA</t>
        </is>
      </c>
      <c r="H95" t="inlineStr">
        <is>
          <t>Sveaskog</t>
        </is>
      </c>
      <c r="I95" t="n">
        <v>4.3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12118-2026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46086</v>
      </c>
      <c r="E96" s="1" t="n">
        <v>46283</v>
      </c>
      <c r="F96" t="inlineStr">
        <is>
          <t>VÄSTRA GÖTALANDS LÄN</t>
        </is>
      </c>
      <c r="G96" t="inlineStr">
        <is>
          <t>HERRLJUNGA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53391-2024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45614</v>
      </c>
      <c r="E97" s="1" t="n">
        <v>46283</v>
      </c>
      <c r="F97" t="inlineStr">
        <is>
          <t>VÄSTRA GÖTALANDS LÄN</t>
        </is>
      </c>
      <c r="G97" t="inlineStr">
        <is>
          <t>HERRLJUNGA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17508-2022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44679</v>
      </c>
      <c r="E98" s="1" t="n">
        <v>46283</v>
      </c>
      <c r="F98" t="inlineStr">
        <is>
          <t>VÄSTRA GÖTALANDS LÄN</t>
        </is>
      </c>
      <c r="G98" t="inlineStr">
        <is>
          <t>HERRLJUNGA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33517-2025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45841</v>
      </c>
      <c r="E99" s="1" t="n">
        <v>46283</v>
      </c>
      <c r="F99" t="inlineStr">
        <is>
          <t>VÄSTRA GÖTALANDS LÄN</t>
        </is>
      </c>
      <c r="G99" t="inlineStr">
        <is>
          <t>HERRLJUNGA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12699-2026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46091</v>
      </c>
      <c r="E100" s="1" t="n">
        <v>46283</v>
      </c>
      <c r="F100" t="inlineStr">
        <is>
          <t>VÄSTRA GÖTALANDS LÄN</t>
        </is>
      </c>
      <c r="G100" t="inlineStr">
        <is>
          <t>HERRLJUNGA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33519-2025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45841</v>
      </c>
      <c r="E101" s="1" t="n">
        <v>46283</v>
      </c>
      <c r="F101" t="inlineStr">
        <is>
          <t>VÄSTRA GÖTALANDS LÄN</t>
        </is>
      </c>
      <c r="G101" t="inlineStr">
        <is>
          <t>HERRLJUNGA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55607-2024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45622</v>
      </c>
      <c r="E102" s="1" t="n">
        <v>46283</v>
      </c>
      <c r="F102" t="inlineStr">
        <is>
          <t>VÄSTRA GÖTALANDS LÄN</t>
        </is>
      </c>
      <c r="G102" t="inlineStr">
        <is>
          <t>HERRLJUNGA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13663-2026</t>
        </is>
      </c>
      <c r="B103" t="inlineStr">
        <is>
          <t>avverkningsanmälan</t>
        </is>
      </c>
      <c r="C103" t="inlineStr">
        <is>
          <t>Avverkning för att bevara och utveckla /försöksver</t>
        </is>
      </c>
      <c r="D103" s="1" t="n">
        <v>46097</v>
      </c>
      <c r="E103" s="1" t="n">
        <v>46283</v>
      </c>
      <c r="F103" t="inlineStr">
        <is>
          <t>VÄSTRA GÖTALANDS LÄN</t>
        </is>
      </c>
      <c r="G103" t="inlineStr">
        <is>
          <t>HERRLJUNGA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13666-2026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46097</v>
      </c>
      <c r="E104" s="1" t="n">
        <v>46283</v>
      </c>
      <c r="F104" t="inlineStr">
        <is>
          <t>VÄSTRA GÖTALANDS LÄN</t>
        </is>
      </c>
      <c r="G104" t="inlineStr">
        <is>
          <t>HERRLJUNGA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13721-2026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46097</v>
      </c>
      <c r="E105" s="1" t="n">
        <v>46283</v>
      </c>
      <c r="F105" t="inlineStr">
        <is>
          <t>VÄSTRA GÖTALANDS LÄN</t>
        </is>
      </c>
      <c r="G105" t="inlineStr">
        <is>
          <t>HERRLJUNGA</t>
        </is>
      </c>
      <c r="I105" t="n">
        <v>4.2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14068-2026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46099</v>
      </c>
      <c r="E106" s="1" t="n">
        <v>46283</v>
      </c>
      <c r="F106" t="inlineStr">
        <is>
          <t>VÄSTRA GÖTALANDS LÄN</t>
        </is>
      </c>
      <c r="G106" t="inlineStr">
        <is>
          <t>HERRLJUNGA</t>
        </is>
      </c>
      <c r="I106" t="n">
        <v>9.699999999999999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14130-2026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46099</v>
      </c>
      <c r="E107" s="1" t="n">
        <v>46283</v>
      </c>
      <c r="F107" t="inlineStr">
        <is>
          <t>VÄSTRA GÖTALANDS LÄN</t>
        </is>
      </c>
      <c r="G107" t="inlineStr">
        <is>
          <t>HERRLJUNGA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13796-2026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46097</v>
      </c>
      <c r="E108" s="1" t="n">
        <v>46283</v>
      </c>
      <c r="F108" t="inlineStr">
        <is>
          <t>VÄSTRA GÖTALANDS LÄN</t>
        </is>
      </c>
      <c r="G108" t="inlineStr">
        <is>
          <t>HERRLJUNGA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14069-2026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46099</v>
      </c>
      <c r="E109" s="1" t="n">
        <v>46283</v>
      </c>
      <c r="F109" t="inlineStr">
        <is>
          <t>VÄSTRA GÖTALANDS LÄN</t>
        </is>
      </c>
      <c r="G109" t="inlineStr">
        <is>
          <t>HERRLJUNGA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13308-2023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45005</v>
      </c>
      <c r="E110" s="1" t="n">
        <v>46283</v>
      </c>
      <c r="F110" t="inlineStr">
        <is>
          <t>VÄSTRA GÖTALANDS LÄN</t>
        </is>
      </c>
      <c r="G110" t="inlineStr">
        <is>
          <t>HERRLJUNGA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39604-2025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45890</v>
      </c>
      <c r="E111" s="1" t="n">
        <v>46283</v>
      </c>
      <c r="F111" t="inlineStr">
        <is>
          <t>VÄSTRA GÖTALANDS LÄN</t>
        </is>
      </c>
      <c r="G111" t="inlineStr">
        <is>
          <t>HERRLJUNGA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50932-2021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44459</v>
      </c>
      <c r="E112" s="1" t="n">
        <v>46283</v>
      </c>
      <c r="F112" t="inlineStr">
        <is>
          <t>VÄSTRA GÖTALANDS LÄN</t>
        </is>
      </c>
      <c r="G112" t="inlineStr">
        <is>
          <t>HERRLJUNGA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3022-2025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45678</v>
      </c>
      <c r="E113" s="1" t="n">
        <v>46283</v>
      </c>
      <c r="F113" t="inlineStr">
        <is>
          <t>VÄSTRA GÖTALANDS LÄN</t>
        </is>
      </c>
      <c r="G113" t="inlineStr">
        <is>
          <t>HERRLJUNGA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63226-2023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45273</v>
      </c>
      <c r="E114" s="1" t="n">
        <v>46283</v>
      </c>
      <c r="F114" t="inlineStr">
        <is>
          <t>VÄSTRA GÖTALANDS LÄN</t>
        </is>
      </c>
      <c r="G114" t="inlineStr">
        <is>
          <t>HERRLJUNGA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43135-2024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45567</v>
      </c>
      <c r="E115" s="1" t="n">
        <v>46283</v>
      </c>
      <c r="F115" t="inlineStr">
        <is>
          <t>VÄSTRA GÖTALANDS LÄN</t>
        </is>
      </c>
      <c r="G115" t="inlineStr">
        <is>
          <t>HERRLJUNGA</t>
        </is>
      </c>
      <c r="I115" t="n">
        <v>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56357-2022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44890</v>
      </c>
      <c r="E116" s="1" t="n">
        <v>46283</v>
      </c>
      <c r="F116" t="inlineStr">
        <is>
          <t>VÄSTRA GÖTALANDS LÄN</t>
        </is>
      </c>
      <c r="G116" t="inlineStr">
        <is>
          <t>HERRLJUNGA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30159-2022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44757</v>
      </c>
      <c r="E117" s="1" t="n">
        <v>46283</v>
      </c>
      <c r="F117" t="inlineStr">
        <is>
          <t>VÄSTRA GÖTALANDS LÄN</t>
        </is>
      </c>
      <c r="G117" t="inlineStr">
        <is>
          <t>HERRLJUNGA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5002-2023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44958</v>
      </c>
      <c r="E118" s="1" t="n">
        <v>46283</v>
      </c>
      <c r="F118" t="inlineStr">
        <is>
          <t>VÄSTRA GÖTALANDS LÄN</t>
        </is>
      </c>
      <c r="G118" t="inlineStr">
        <is>
          <t>HERRLJUNGA</t>
        </is>
      </c>
      <c r="I118" t="n">
        <v>2.2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28907-2024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45480</v>
      </c>
      <c r="E119" s="1" t="n">
        <v>46283</v>
      </c>
      <c r="F119" t="inlineStr">
        <is>
          <t>VÄSTRA GÖTALANDS LÄN</t>
        </is>
      </c>
      <c r="G119" t="inlineStr">
        <is>
          <t>HERRLJUNGA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13200-2022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44644</v>
      </c>
      <c r="E120" s="1" t="n">
        <v>46283</v>
      </c>
      <c r="F120" t="inlineStr">
        <is>
          <t>VÄSTRA GÖTALANDS LÄN</t>
        </is>
      </c>
      <c r="G120" t="inlineStr">
        <is>
          <t>HERRLJUNGA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59754-2024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45639</v>
      </c>
      <c r="E121" s="1" t="n">
        <v>46283</v>
      </c>
      <c r="F121" t="inlineStr">
        <is>
          <t>VÄSTRA GÖTALANDS LÄN</t>
        </is>
      </c>
      <c r="G121" t="inlineStr">
        <is>
          <t>HERRLJUNGA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17072-2026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46114</v>
      </c>
      <c r="E122" s="1" t="n">
        <v>46283</v>
      </c>
      <c r="F122" t="inlineStr">
        <is>
          <t>VÄSTRA GÖTALANDS LÄN</t>
        </is>
      </c>
      <c r="G122" t="inlineStr">
        <is>
          <t>HERRLJUNGA</t>
        </is>
      </c>
      <c r="H122" t="inlineStr">
        <is>
          <t>Sveaskog</t>
        </is>
      </c>
      <c r="I122" t="n">
        <v>12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17342-2026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46119</v>
      </c>
      <c r="E123" s="1" t="n">
        <v>46283</v>
      </c>
      <c r="F123" t="inlineStr">
        <is>
          <t>VÄSTRA GÖTALANDS LÄN</t>
        </is>
      </c>
      <c r="G123" t="inlineStr">
        <is>
          <t>HERRLJUNGA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40672-2025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45896</v>
      </c>
      <c r="E124" s="1" t="n">
        <v>46283</v>
      </c>
      <c r="F124" t="inlineStr">
        <is>
          <t>VÄSTRA GÖTALANDS LÄN</t>
        </is>
      </c>
      <c r="G124" t="inlineStr">
        <is>
          <t>HERRLJUNGA</t>
        </is>
      </c>
      <c r="I124" t="n">
        <v>4.8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17556-2026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46120</v>
      </c>
      <c r="E125" s="1" t="n">
        <v>46283</v>
      </c>
      <c r="F125" t="inlineStr">
        <is>
          <t>VÄSTRA GÖTALANDS LÄN</t>
        </is>
      </c>
      <c r="G125" t="inlineStr">
        <is>
          <t>HERRLJUNGA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53690-2024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45615</v>
      </c>
      <c r="E126" s="1" t="n">
        <v>46283</v>
      </c>
      <c r="F126" t="inlineStr">
        <is>
          <t>VÄSTRA GÖTALANDS LÄN</t>
        </is>
      </c>
      <c r="G126" t="inlineStr">
        <is>
          <t>HERRLJUNGA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17811-2026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46122</v>
      </c>
      <c r="E127" s="1" t="n">
        <v>46283</v>
      </c>
      <c r="F127" t="inlineStr">
        <is>
          <t>VÄSTRA GÖTALANDS LÄN</t>
        </is>
      </c>
      <c r="G127" t="inlineStr">
        <is>
          <t>HERRLJUNGA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32772-2025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45839</v>
      </c>
      <c r="E128" s="1" t="n">
        <v>46283</v>
      </c>
      <c r="F128" t="inlineStr">
        <is>
          <t>VÄSTRA GÖTALANDS LÄN</t>
        </is>
      </c>
      <c r="G128" t="inlineStr">
        <is>
          <t>HERRLJUNGA</t>
        </is>
      </c>
      <c r="I128" t="n">
        <v>2.5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8349-2023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44977</v>
      </c>
      <c r="E129" s="1" t="n">
        <v>46283</v>
      </c>
      <c r="F129" t="inlineStr">
        <is>
          <t>VÄSTRA GÖTALANDS LÄN</t>
        </is>
      </c>
      <c r="G129" t="inlineStr">
        <is>
          <t>HERRLJUNGA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46128-2022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44847</v>
      </c>
      <c r="E130" s="1" t="n">
        <v>46283</v>
      </c>
      <c r="F130" t="inlineStr">
        <is>
          <t>VÄSTRA GÖTALANDS LÄN</t>
        </is>
      </c>
      <c r="G130" t="inlineStr">
        <is>
          <t>HERRLJUNGA</t>
        </is>
      </c>
      <c r="H130" t="inlineStr">
        <is>
          <t>Sveaskog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40823-2025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45897</v>
      </c>
      <c r="E131" s="1" t="n">
        <v>46283</v>
      </c>
      <c r="F131" t="inlineStr">
        <is>
          <t>VÄSTRA GÖTALANDS LÄN</t>
        </is>
      </c>
      <c r="G131" t="inlineStr">
        <is>
          <t>HERRLJUNGA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18697-2026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46128</v>
      </c>
      <c r="E132" s="1" t="n">
        <v>46283</v>
      </c>
      <c r="F132" t="inlineStr">
        <is>
          <t>VÄSTRA GÖTALANDS LÄN</t>
        </is>
      </c>
      <c r="G132" t="inlineStr">
        <is>
          <t>HERRLJUNGA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19012-2026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46130</v>
      </c>
      <c r="E133" s="1" t="n">
        <v>46283</v>
      </c>
      <c r="F133" t="inlineStr">
        <is>
          <t>VÄSTRA GÖTALANDS LÄN</t>
        </is>
      </c>
      <c r="G133" t="inlineStr">
        <is>
          <t>HERRLJUNGA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19014-2026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46130</v>
      </c>
      <c r="E134" s="1" t="n">
        <v>46283</v>
      </c>
      <c r="F134" t="inlineStr">
        <is>
          <t>VÄSTRA GÖTALANDS LÄN</t>
        </is>
      </c>
      <c r="G134" t="inlineStr">
        <is>
          <t>HERRLJUNGA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19016-2026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46130</v>
      </c>
      <c r="E135" s="1" t="n">
        <v>46283</v>
      </c>
      <c r="F135" t="inlineStr">
        <is>
          <t>VÄSTRA GÖTALANDS LÄN</t>
        </is>
      </c>
      <c r="G135" t="inlineStr">
        <is>
          <t>HERRLJUNGA</t>
        </is>
      </c>
      <c r="I135" t="n">
        <v>1.3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18914-2026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46129</v>
      </c>
      <c r="E136" s="1" t="n">
        <v>46283</v>
      </c>
      <c r="F136" t="inlineStr">
        <is>
          <t>VÄSTRA GÖTALANDS LÄN</t>
        </is>
      </c>
      <c r="G136" t="inlineStr">
        <is>
          <t>HERRLJUNGA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19013-2026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46130</v>
      </c>
      <c r="E137" s="1" t="n">
        <v>46283</v>
      </c>
      <c r="F137" t="inlineStr">
        <is>
          <t>VÄSTRA GÖTALANDS LÄN</t>
        </is>
      </c>
      <c r="G137" t="inlineStr">
        <is>
          <t>HERRLJUNGA</t>
        </is>
      </c>
      <c r="I137" t="n">
        <v>0.3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28255-2023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45099</v>
      </c>
      <c r="E138" s="1" t="n">
        <v>46283</v>
      </c>
      <c r="F138" t="inlineStr">
        <is>
          <t>VÄSTRA GÖTALANDS LÄN</t>
        </is>
      </c>
      <c r="G138" t="inlineStr">
        <is>
          <t>HERRLJUNGA</t>
        </is>
      </c>
      <c r="I138" t="n">
        <v>3.4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36174-2023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45149</v>
      </c>
      <c r="E139" s="1" t="n">
        <v>46283</v>
      </c>
      <c r="F139" t="inlineStr">
        <is>
          <t>VÄSTRA GÖTALANDS LÄN</t>
        </is>
      </c>
      <c r="G139" t="inlineStr">
        <is>
          <t>HERRLJUNGA</t>
        </is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19851-2026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46135</v>
      </c>
      <c r="E140" s="1" t="n">
        <v>46283</v>
      </c>
      <c r="F140" t="inlineStr">
        <is>
          <t>VÄSTRA GÖTALANDS LÄN</t>
        </is>
      </c>
      <c r="G140" t="inlineStr">
        <is>
          <t>HERRLJUNGA</t>
        </is>
      </c>
      <c r="I140" t="n">
        <v>7.2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61705-2023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45265</v>
      </c>
      <c r="E141" s="1" t="n">
        <v>46283</v>
      </c>
      <c r="F141" t="inlineStr">
        <is>
          <t>VÄSTRA GÖTALANDS LÄN</t>
        </is>
      </c>
      <c r="G141" t="inlineStr">
        <is>
          <t>HERRLJUNGA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40942-2025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46283</v>
      </c>
      <c r="F142" t="inlineStr">
        <is>
          <t>VÄSTRA GÖTALANDS LÄN</t>
        </is>
      </c>
      <c r="G142" t="inlineStr">
        <is>
          <t>HERRLJUNGA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44499-2025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45916</v>
      </c>
      <c r="E143" s="1" t="n">
        <v>46283</v>
      </c>
      <c r="F143" t="inlineStr">
        <is>
          <t>VÄSTRA GÖTALANDS LÄN</t>
        </is>
      </c>
      <c r="G143" t="inlineStr">
        <is>
          <t>HERRLJUNGA</t>
        </is>
      </c>
      <c r="H143" t="inlineStr">
        <is>
          <t>Kyrkan</t>
        </is>
      </c>
      <c r="I143" t="n">
        <v>3.5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45004-2025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45918</v>
      </c>
      <c r="E144" s="1" t="n">
        <v>46283</v>
      </c>
      <c r="F144" t="inlineStr">
        <is>
          <t>VÄSTRA GÖTALANDS LÄN</t>
        </is>
      </c>
      <c r="G144" t="inlineStr">
        <is>
          <t>HERRLJUNGA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45091-2025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45919</v>
      </c>
      <c r="E145" s="1" t="n">
        <v>46283</v>
      </c>
      <c r="F145" t="inlineStr">
        <is>
          <t>VÄSTRA GÖTALANDS LÄN</t>
        </is>
      </c>
      <c r="G145" t="inlineStr">
        <is>
          <t>HERRLJUNGA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37110-2023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45155</v>
      </c>
      <c r="E146" s="1" t="n">
        <v>46283</v>
      </c>
      <c r="F146" t="inlineStr">
        <is>
          <t>VÄSTRA GÖTALANDS LÄN</t>
        </is>
      </c>
      <c r="G146" t="inlineStr">
        <is>
          <t>HERRLJUNGA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45330-2025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45922</v>
      </c>
      <c r="E147" s="1" t="n">
        <v>46283</v>
      </c>
      <c r="F147" t="inlineStr">
        <is>
          <t>VÄSTRA GÖTALANDS LÄN</t>
        </is>
      </c>
      <c r="G147" t="inlineStr">
        <is>
          <t>HERRLJUNGA</t>
        </is>
      </c>
      <c r="I147" t="n">
        <v>10.6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8970-2025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45713</v>
      </c>
      <c r="E148" s="1" t="n">
        <v>46283</v>
      </c>
      <c r="F148" t="inlineStr">
        <is>
          <t>VÄSTRA GÖTALANDS LÄN</t>
        </is>
      </c>
      <c r="G148" t="inlineStr">
        <is>
          <t>HERRLJUNGA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18730-2025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45763</v>
      </c>
      <c r="E149" s="1" t="n">
        <v>46283</v>
      </c>
      <c r="F149" t="inlineStr">
        <is>
          <t>VÄSTRA GÖTALANDS LÄN</t>
        </is>
      </c>
      <c r="G149" t="inlineStr">
        <is>
          <t>HERRLJUNGA</t>
        </is>
      </c>
      <c r="I149" t="n">
        <v>4.4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40841-2023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45172</v>
      </c>
      <c r="E150" s="1" t="n">
        <v>46283</v>
      </c>
      <c r="F150" t="inlineStr">
        <is>
          <t>VÄSTRA GÖTALANDS LÄN</t>
        </is>
      </c>
      <c r="G150" t="inlineStr">
        <is>
          <t>HERRLJUNGA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19665-2025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45770</v>
      </c>
      <c r="E151" s="1" t="n">
        <v>46283</v>
      </c>
      <c r="F151" t="inlineStr">
        <is>
          <t>VÄSTRA GÖTALANDS LÄN</t>
        </is>
      </c>
      <c r="G151" t="inlineStr">
        <is>
          <t>HERRLJUNGA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45636-2025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45922</v>
      </c>
      <c r="E152" s="1" t="n">
        <v>46283</v>
      </c>
      <c r="F152" t="inlineStr">
        <is>
          <t>VÄSTRA GÖTALANDS LÄN</t>
        </is>
      </c>
      <c r="G152" t="inlineStr">
        <is>
          <t>HERRLJUNGA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45635-2025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45922</v>
      </c>
      <c r="E153" s="1" t="n">
        <v>46283</v>
      </c>
      <c r="F153" t="inlineStr">
        <is>
          <t>VÄSTRA GÖTALANDS LÄN</t>
        </is>
      </c>
      <c r="G153" t="inlineStr">
        <is>
          <t>HERRLJUNGA</t>
        </is>
      </c>
      <c r="I153" t="n">
        <v>2.6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45633-2025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45922</v>
      </c>
      <c r="E154" s="1" t="n">
        <v>46283</v>
      </c>
      <c r="F154" t="inlineStr">
        <is>
          <t>VÄSTRA GÖTALANDS LÄN</t>
        </is>
      </c>
      <c r="G154" t="inlineStr">
        <is>
          <t>HERRLJUNGA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23551-2023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45077</v>
      </c>
      <c r="E155" s="1" t="n">
        <v>46283</v>
      </c>
      <c r="F155" t="inlineStr">
        <is>
          <t>VÄSTRA GÖTALANDS LÄN</t>
        </is>
      </c>
      <c r="G155" t="inlineStr">
        <is>
          <t>HERRLJUNGA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3732-2026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46043</v>
      </c>
      <c r="E156" s="1" t="n">
        <v>46283</v>
      </c>
      <c r="F156" t="inlineStr">
        <is>
          <t>VÄSTRA GÖTALANDS LÄN</t>
        </is>
      </c>
      <c r="G156" t="inlineStr">
        <is>
          <t>HERRLJUNGA</t>
        </is>
      </c>
      <c r="I156" t="n">
        <v>1.2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53377-2025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46283</v>
      </c>
      <c r="F157" t="inlineStr">
        <is>
          <t>VÄSTRA GÖTALANDS LÄN</t>
        </is>
      </c>
      <c r="G157" t="inlineStr">
        <is>
          <t>HERRLJUNGA</t>
        </is>
      </c>
      <c r="I157" t="n">
        <v>8.9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33921-2022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44790</v>
      </c>
      <c r="E158" s="1" t="n">
        <v>46283</v>
      </c>
      <c r="F158" t="inlineStr">
        <is>
          <t>VÄSTRA GÖTALANDS LÄN</t>
        </is>
      </c>
      <c r="G158" t="inlineStr">
        <is>
          <t>HERRLJUNGA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13731-2025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45737</v>
      </c>
      <c r="E159" s="1" t="n">
        <v>46283</v>
      </c>
      <c r="F159" t="inlineStr">
        <is>
          <t>VÄSTRA GÖTALANDS LÄN</t>
        </is>
      </c>
      <c r="G159" t="inlineStr">
        <is>
          <t>HERRLJUNGA</t>
        </is>
      </c>
      <c r="I159" t="n">
        <v>5.3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50955-2022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44866</v>
      </c>
      <c r="E160" s="1" t="n">
        <v>46283</v>
      </c>
      <c r="F160" t="inlineStr">
        <is>
          <t>VÄSTRA GÖTALANDS LÄN</t>
        </is>
      </c>
      <c r="G160" t="inlineStr">
        <is>
          <t>HERRLJUNGA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12078-2025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45728</v>
      </c>
      <c r="E161" s="1" t="n">
        <v>46283</v>
      </c>
      <c r="F161" t="inlineStr">
        <is>
          <t>VÄSTRA GÖTALANDS LÄN</t>
        </is>
      </c>
      <c r="G161" t="inlineStr">
        <is>
          <t>HERRLJUNGA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22880-2023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45072</v>
      </c>
      <c r="E162" s="1" t="n">
        <v>46283</v>
      </c>
      <c r="F162" t="inlineStr">
        <is>
          <t>VÄSTRA GÖTALANDS LÄN</t>
        </is>
      </c>
      <c r="G162" t="inlineStr">
        <is>
          <t>HERRLJUNGA</t>
        </is>
      </c>
      <c r="H162" t="inlineStr">
        <is>
          <t>Sveaskog</t>
        </is>
      </c>
      <c r="I162" t="n">
        <v>10.2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  <c r="Z162">
        <f>HYPERLINK("https://klasma.github.io/Logging_1466/knärot/A 22880-2023 karta knärot.png", "A 22880-2023")</f>
        <v/>
      </c>
      <c r="AA162">
        <f>HYPERLINK("https://klasma.github.io/Logging_1466/klagomål/A 22880-2023 FSC-klagomål.docx", "A 22880-2023")</f>
        <v/>
      </c>
      <c r="AB162">
        <f>HYPERLINK("https://klasma.github.io/Logging_1466/klagomålsmail/A 22880-2023 FSC-klagomål mail.docx", "A 22880-2023")</f>
        <v/>
      </c>
      <c r="AC162">
        <f>HYPERLINK("https://klasma.github.io/Logging_1466/tillsyn/A 22880-2023 tillsynsbegäran.docx", "A 22880-2023")</f>
        <v/>
      </c>
      <c r="AD162">
        <f>HYPERLINK("https://klasma.github.io/Logging_1466/tillsynsmail/A 22880-2023 tillsynsbegäran mail.docx", "A 22880-2023")</f>
        <v/>
      </c>
    </row>
    <row r="163" ht="15" customHeight="1">
      <c r="A163" t="inlineStr">
        <is>
          <t>A 46635-2025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45926</v>
      </c>
      <c r="E163" s="1" t="n">
        <v>46283</v>
      </c>
      <c r="F163" t="inlineStr">
        <is>
          <t>VÄSTRA GÖTALANDS LÄN</t>
        </is>
      </c>
      <c r="G163" t="inlineStr">
        <is>
          <t>HERRLJUNGA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67552-2021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44524</v>
      </c>
      <c r="E164" s="1" t="n">
        <v>46283</v>
      </c>
      <c r="F164" t="inlineStr">
        <is>
          <t>VÄSTRA GÖTALANDS LÄN</t>
        </is>
      </c>
      <c r="G164" t="inlineStr">
        <is>
          <t>HERRLJUNGA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33027-2024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45517</v>
      </c>
      <c r="E165" s="1" t="n">
        <v>46283</v>
      </c>
      <c r="F165" t="inlineStr">
        <is>
          <t>VÄSTRA GÖTALANDS LÄN</t>
        </is>
      </c>
      <c r="G165" t="inlineStr">
        <is>
          <t>HERRLJUNGA</t>
        </is>
      </c>
      <c r="H165" t="inlineStr">
        <is>
          <t>Kyrkan</t>
        </is>
      </c>
      <c r="I165" t="n">
        <v>3.7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62270-2023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45266</v>
      </c>
      <c r="E166" s="1" t="n">
        <v>46283</v>
      </c>
      <c r="F166" t="inlineStr">
        <is>
          <t>VÄSTRA GÖTALANDS LÄN</t>
        </is>
      </c>
      <c r="G166" t="inlineStr">
        <is>
          <t>HERRLJUNGA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54563-2023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45233</v>
      </c>
      <c r="E167" s="1" t="n">
        <v>46283</v>
      </c>
      <c r="F167" t="inlineStr">
        <is>
          <t>VÄSTRA GÖTALANDS LÄN</t>
        </is>
      </c>
      <c r="G167" t="inlineStr">
        <is>
          <t>HERRLJUNGA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24950-2023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45085</v>
      </c>
      <c r="E168" s="1" t="n">
        <v>46283</v>
      </c>
      <c r="F168" t="inlineStr">
        <is>
          <t>VÄSTRA GÖTALANDS LÄN</t>
        </is>
      </c>
      <c r="G168" t="inlineStr">
        <is>
          <t>HERRLJUNGA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24811-2023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45084</v>
      </c>
      <c r="E169" s="1" t="n">
        <v>46283</v>
      </c>
      <c r="F169" t="inlineStr">
        <is>
          <t>VÄSTRA GÖTALANDS LÄN</t>
        </is>
      </c>
      <c r="G169" t="inlineStr">
        <is>
          <t>HERRLJUNGA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57961-2022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44900</v>
      </c>
      <c r="E170" s="1" t="n">
        <v>46283</v>
      </c>
      <c r="F170" t="inlineStr">
        <is>
          <t>VÄSTRA GÖTALANDS LÄN</t>
        </is>
      </c>
      <c r="G170" t="inlineStr">
        <is>
          <t>HERRLJUNGA</t>
        </is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54377-2022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44882</v>
      </c>
      <c r="E171" s="1" t="n">
        <v>46283</v>
      </c>
      <c r="F171" t="inlineStr">
        <is>
          <t>VÄSTRA GÖTALANDS LÄN</t>
        </is>
      </c>
      <c r="G171" t="inlineStr">
        <is>
          <t>HERRLJUNGA</t>
        </is>
      </c>
      <c r="I171" t="n">
        <v>5.9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20907-2026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46142</v>
      </c>
      <c r="E172" s="1" t="n">
        <v>46283</v>
      </c>
      <c r="F172" t="inlineStr">
        <is>
          <t>VÄSTRA GÖTALANDS LÄN</t>
        </is>
      </c>
      <c r="G172" t="inlineStr">
        <is>
          <t>HERRLJUNGA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27976-2023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45098</v>
      </c>
      <c r="E173" s="1" t="n">
        <v>46283</v>
      </c>
      <c r="F173" t="inlineStr">
        <is>
          <t>VÄSTRA GÖTALANDS LÄN</t>
        </is>
      </c>
      <c r="G173" t="inlineStr">
        <is>
          <t>HERRLJUNGA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10663-2025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45721</v>
      </c>
      <c r="E174" s="1" t="n">
        <v>46283</v>
      </c>
      <c r="F174" t="inlineStr">
        <is>
          <t>VÄSTRA GÖTALANDS LÄN</t>
        </is>
      </c>
      <c r="G174" t="inlineStr">
        <is>
          <t>HERRLJUNGA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19863-2025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46283</v>
      </c>
      <c r="F175" t="inlineStr">
        <is>
          <t>VÄSTRA GÖTALANDS LÄN</t>
        </is>
      </c>
      <c r="G175" t="inlineStr">
        <is>
          <t>HERRLJUNGA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19871-2025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45771</v>
      </c>
      <c r="E176" s="1" t="n">
        <v>46283</v>
      </c>
      <c r="F176" t="inlineStr">
        <is>
          <t>VÄSTRA GÖTALANDS LÄN</t>
        </is>
      </c>
      <c r="G176" t="inlineStr">
        <is>
          <t>HERRLJUNGA</t>
        </is>
      </c>
      <c r="I176" t="n">
        <v>2.5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18756-2025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45763</v>
      </c>
      <c r="E177" s="1" t="n">
        <v>46283</v>
      </c>
      <c r="F177" t="inlineStr">
        <is>
          <t>VÄSTRA GÖTALANDS LÄN</t>
        </is>
      </c>
      <c r="G177" t="inlineStr">
        <is>
          <t>HERRLJUNGA</t>
        </is>
      </c>
      <c r="H177" t="inlineStr">
        <is>
          <t>Sveaskog</t>
        </is>
      </c>
      <c r="I177" t="n">
        <v>15.2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59838-2022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44908</v>
      </c>
      <c r="E178" s="1" t="n">
        <v>46283</v>
      </c>
      <c r="F178" t="inlineStr">
        <is>
          <t>VÄSTRA GÖTALANDS LÄN</t>
        </is>
      </c>
      <c r="G178" t="inlineStr">
        <is>
          <t>HERRLJUNGA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48357-2025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45933</v>
      </c>
      <c r="E179" s="1" t="n">
        <v>46283</v>
      </c>
      <c r="F179" t="inlineStr">
        <is>
          <t>VÄSTRA GÖTALANDS LÄN</t>
        </is>
      </c>
      <c r="G179" t="inlineStr">
        <is>
          <t>HERRLJUNGA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60743-2022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44914</v>
      </c>
      <c r="E180" s="1" t="n">
        <v>46283</v>
      </c>
      <c r="F180" t="inlineStr">
        <is>
          <t>VÄSTRA GÖTALANDS LÄN</t>
        </is>
      </c>
      <c r="G180" t="inlineStr">
        <is>
          <t>HERRLJUNGA</t>
        </is>
      </c>
      <c r="I180" t="n">
        <v>2.6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51620-2023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45222</v>
      </c>
      <c r="E181" s="1" t="n">
        <v>46283</v>
      </c>
      <c r="F181" t="inlineStr">
        <is>
          <t>VÄSTRA GÖTALANDS LÄN</t>
        </is>
      </c>
      <c r="G181" t="inlineStr">
        <is>
          <t>HERRLJUNGA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21616-2026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46149</v>
      </c>
      <c r="E182" s="1" t="n">
        <v>46283</v>
      </c>
      <c r="F182" t="inlineStr">
        <is>
          <t>VÄSTRA GÖTALANDS LÄN</t>
        </is>
      </c>
      <c r="G182" t="inlineStr">
        <is>
          <t>HERRLJUNGA</t>
        </is>
      </c>
      <c r="I182" t="n">
        <v>2.7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21624-2026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46149</v>
      </c>
      <c r="E183" s="1" t="n">
        <v>46283</v>
      </c>
      <c r="F183" t="inlineStr">
        <is>
          <t>VÄSTRA GÖTALANDS LÄN</t>
        </is>
      </c>
      <c r="G183" t="inlineStr">
        <is>
          <t>HERRLJUNGA</t>
        </is>
      </c>
      <c r="I183" t="n">
        <v>1.9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22357-2026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46154</v>
      </c>
      <c r="E184" s="1" t="n">
        <v>46283</v>
      </c>
      <c r="F184" t="inlineStr">
        <is>
          <t>VÄSTRA GÖTALANDS LÄN</t>
        </is>
      </c>
      <c r="G184" t="inlineStr">
        <is>
          <t>HERRLJUNGA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22325-2026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46154</v>
      </c>
      <c r="E185" s="1" t="n">
        <v>46283</v>
      </c>
      <c r="F185" t="inlineStr">
        <is>
          <t>VÄSTRA GÖTALANDS LÄN</t>
        </is>
      </c>
      <c r="G185" t="inlineStr">
        <is>
          <t>HERRLJUNGA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64516-2021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44511</v>
      </c>
      <c r="E186" s="1" t="n">
        <v>46283</v>
      </c>
      <c r="F186" t="inlineStr">
        <is>
          <t>VÄSTRA GÖTALANDS LÄN</t>
        </is>
      </c>
      <c r="G186" t="inlineStr">
        <is>
          <t>HERRLJUNGA</t>
        </is>
      </c>
      <c r="I186" t="n">
        <v>1.9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4020-2023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44952</v>
      </c>
      <c r="E187" s="1" t="n">
        <v>46283</v>
      </c>
      <c r="F187" t="inlineStr">
        <is>
          <t>VÄSTRA GÖTALANDS LÄN</t>
        </is>
      </c>
      <c r="G187" t="inlineStr">
        <is>
          <t>HERRLJUNGA</t>
        </is>
      </c>
      <c r="I187" t="n">
        <v>2.5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29935-2023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45107</v>
      </c>
      <c r="E188" s="1" t="n">
        <v>46283</v>
      </c>
      <c r="F188" t="inlineStr">
        <is>
          <t>VÄSTRA GÖTALANDS LÄN</t>
        </is>
      </c>
      <c r="G188" t="inlineStr">
        <is>
          <t>HERRLJUNGA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57995-2023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45247</v>
      </c>
      <c r="E189" s="1" t="n">
        <v>46283</v>
      </c>
      <c r="F189" t="inlineStr">
        <is>
          <t>VÄSTRA GÖTALANDS LÄN</t>
        </is>
      </c>
      <c r="G189" t="inlineStr">
        <is>
          <t>HERRLJUNGA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7246-2025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45702</v>
      </c>
      <c r="E190" s="1" t="n">
        <v>46283</v>
      </c>
      <c r="F190" t="inlineStr">
        <is>
          <t>VÄSTRA GÖTALANDS LÄN</t>
        </is>
      </c>
      <c r="G190" t="inlineStr">
        <is>
          <t>HERRLJUNGA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63734-2023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45277</v>
      </c>
      <c r="E191" s="1" t="n">
        <v>46283</v>
      </c>
      <c r="F191" t="inlineStr">
        <is>
          <t>VÄSTRA GÖTALANDS LÄN</t>
        </is>
      </c>
      <c r="G191" t="inlineStr">
        <is>
          <t>HERRLJUNGA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4442-2024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45327</v>
      </c>
      <c r="E192" s="1" t="n">
        <v>46283</v>
      </c>
      <c r="F192" t="inlineStr">
        <is>
          <t>VÄSTRA GÖTALANDS LÄN</t>
        </is>
      </c>
      <c r="G192" t="inlineStr">
        <is>
          <t>HERRLJUNGA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11130-2025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45723</v>
      </c>
      <c r="E193" s="1" t="n">
        <v>46283</v>
      </c>
      <c r="F193" t="inlineStr">
        <is>
          <t>VÄSTRA GÖTALANDS LÄN</t>
        </is>
      </c>
      <c r="G193" t="inlineStr">
        <is>
          <t>HERRLJUNGA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40029-2023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45168</v>
      </c>
      <c r="E194" s="1" t="n">
        <v>46283</v>
      </c>
      <c r="F194" t="inlineStr">
        <is>
          <t>VÄSTRA GÖTALANDS LÄN</t>
        </is>
      </c>
      <c r="G194" t="inlineStr">
        <is>
          <t>HERRLJUNGA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39423-2023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45163</v>
      </c>
      <c r="E195" s="1" t="n">
        <v>46283</v>
      </c>
      <c r="F195" t="inlineStr">
        <is>
          <t>VÄSTRA GÖTALANDS LÄN</t>
        </is>
      </c>
      <c r="G195" t="inlineStr">
        <is>
          <t>HERRLJUNGA</t>
        </is>
      </c>
      <c r="I195" t="n">
        <v>1.9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19802-2023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45051</v>
      </c>
      <c r="E196" s="1" t="n">
        <v>46283</v>
      </c>
      <c r="F196" t="inlineStr">
        <is>
          <t>VÄSTRA GÖTALANDS LÄN</t>
        </is>
      </c>
      <c r="G196" t="inlineStr">
        <is>
          <t>HERRLJUNGA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8959-2024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45357</v>
      </c>
      <c r="E197" s="1" t="n">
        <v>46283</v>
      </c>
      <c r="F197" t="inlineStr">
        <is>
          <t>VÄSTRA GÖTALANDS LÄN</t>
        </is>
      </c>
      <c r="G197" t="inlineStr">
        <is>
          <t>HERRLJUNGA</t>
        </is>
      </c>
      <c r="H197" t="inlineStr">
        <is>
          <t>Kyrkan</t>
        </is>
      </c>
      <c r="I197" t="n">
        <v>6.3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23513-2024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45453</v>
      </c>
      <c r="E198" s="1" t="n">
        <v>46283</v>
      </c>
      <c r="F198" t="inlineStr">
        <is>
          <t>VÄSTRA GÖTALANDS LÄN</t>
        </is>
      </c>
      <c r="G198" t="inlineStr">
        <is>
          <t>HERRLJUNGA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8959-2024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45357</v>
      </c>
      <c r="E199" s="1" t="n">
        <v>46283</v>
      </c>
      <c r="F199" t="inlineStr">
        <is>
          <t>VÄSTRA GÖTALANDS LÄN</t>
        </is>
      </c>
      <c r="G199" t="inlineStr">
        <is>
          <t>HERRLJUNGA</t>
        </is>
      </c>
      <c r="H199" t="inlineStr">
        <is>
          <t>Kyrkan</t>
        </is>
      </c>
      <c r="I199" t="n">
        <v>6.3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1875-2022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44574</v>
      </c>
      <c r="E200" s="1" t="n">
        <v>46283</v>
      </c>
      <c r="F200" t="inlineStr">
        <is>
          <t>VÄSTRA GÖTALANDS LÄN</t>
        </is>
      </c>
      <c r="G200" t="inlineStr">
        <is>
          <t>HERRLJUNGA</t>
        </is>
      </c>
      <c r="I200" t="n">
        <v>11.4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51199-2024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45603</v>
      </c>
      <c r="E201" s="1" t="n">
        <v>46283</v>
      </c>
      <c r="F201" t="inlineStr">
        <is>
          <t>VÄSTRA GÖTALANDS LÄN</t>
        </is>
      </c>
      <c r="G201" t="inlineStr">
        <is>
          <t>HERRLJUNGA</t>
        </is>
      </c>
      <c r="I201" t="n">
        <v>4.1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32408-2025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45838</v>
      </c>
      <c r="E202" s="1" t="n">
        <v>46283</v>
      </c>
      <c r="F202" t="inlineStr">
        <is>
          <t>VÄSTRA GÖTALANDS LÄN</t>
        </is>
      </c>
      <c r="G202" t="inlineStr">
        <is>
          <t>HERRLJUNGA</t>
        </is>
      </c>
      <c r="I202" t="n">
        <v>7.2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24586-2025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45798</v>
      </c>
      <c r="E203" s="1" t="n">
        <v>46283</v>
      </c>
      <c r="F203" t="inlineStr">
        <is>
          <t>VÄSTRA GÖTALANDS LÄN</t>
        </is>
      </c>
      <c r="G203" t="inlineStr">
        <is>
          <t>HERRLJUNGA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45522-2024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45578</v>
      </c>
      <c r="E204" s="1" t="n">
        <v>46283</v>
      </c>
      <c r="F204" t="inlineStr">
        <is>
          <t>VÄSTRA GÖTALANDS LÄN</t>
        </is>
      </c>
      <c r="G204" t="inlineStr">
        <is>
          <t>HERRLJUNGA</t>
        </is>
      </c>
      <c r="I204" t="n">
        <v>0.8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67551-2021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44524</v>
      </c>
      <c r="E205" s="1" t="n">
        <v>46283</v>
      </c>
      <c r="F205" t="inlineStr">
        <is>
          <t>VÄSTRA GÖTALANDS LÄN</t>
        </is>
      </c>
      <c r="G205" t="inlineStr">
        <is>
          <t>HERRLJUNGA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7889-2025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45707</v>
      </c>
      <c r="E206" s="1" t="n">
        <v>46283</v>
      </c>
      <c r="F206" t="inlineStr">
        <is>
          <t>VÄSTRA GÖTALANDS LÄN</t>
        </is>
      </c>
      <c r="G206" t="inlineStr">
        <is>
          <t>HERRLJUNGA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51148-2025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45947</v>
      </c>
      <c r="E207" s="1" t="n">
        <v>46283</v>
      </c>
      <c r="F207" t="inlineStr">
        <is>
          <t>VÄSTRA GÖTALANDS LÄN</t>
        </is>
      </c>
      <c r="G207" t="inlineStr">
        <is>
          <t>HERRLJUNGA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51298-2025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45950</v>
      </c>
      <c r="E208" s="1" t="n">
        <v>46283</v>
      </c>
      <c r="F208" t="inlineStr">
        <is>
          <t>VÄSTRA GÖTALANDS LÄN</t>
        </is>
      </c>
      <c r="G208" t="inlineStr">
        <is>
          <t>HERRLJUNGA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51146-2025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45947</v>
      </c>
      <c r="E209" s="1" t="n">
        <v>46283</v>
      </c>
      <c r="F209" t="inlineStr">
        <is>
          <t>VÄSTRA GÖTALANDS LÄN</t>
        </is>
      </c>
      <c r="G209" t="inlineStr">
        <is>
          <t>HERRLJUNGA</t>
        </is>
      </c>
      <c r="I209" t="n">
        <v>1.5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41672-2023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45176</v>
      </c>
      <c r="E210" s="1" t="n">
        <v>46283</v>
      </c>
      <c r="F210" t="inlineStr">
        <is>
          <t>VÄSTRA GÖTALANDS LÄN</t>
        </is>
      </c>
      <c r="G210" t="inlineStr">
        <is>
          <t>HERRLJUNGA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14167-2023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45009</v>
      </c>
      <c r="E211" s="1" t="n">
        <v>46283</v>
      </c>
      <c r="F211" t="inlineStr">
        <is>
          <t>VÄSTRA GÖTALANDS LÄN</t>
        </is>
      </c>
      <c r="G211" t="inlineStr">
        <is>
          <t>HERRLJUNGA</t>
        </is>
      </c>
      <c r="I211" t="n">
        <v>1.8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49426-2024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45595</v>
      </c>
      <c r="E212" s="1" t="n">
        <v>46283</v>
      </c>
      <c r="F212" t="inlineStr">
        <is>
          <t>VÄSTRA GÖTALANDS LÄN</t>
        </is>
      </c>
      <c r="G212" t="inlineStr">
        <is>
          <t>HERRLJUNGA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25877-2026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46178</v>
      </c>
      <c r="E213" s="1" t="n">
        <v>46283</v>
      </c>
      <c r="F213" t="inlineStr">
        <is>
          <t>VÄSTRA GÖTALANDS LÄN</t>
        </is>
      </c>
      <c r="G213" t="inlineStr">
        <is>
          <t>HERRLJUNGA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51979-2025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45952</v>
      </c>
      <c r="E214" s="1" t="n">
        <v>46283</v>
      </c>
      <c r="F214" t="inlineStr">
        <is>
          <t>VÄSTRA GÖTALANDS LÄN</t>
        </is>
      </c>
      <c r="G214" t="inlineStr">
        <is>
          <t>HERRLJUNGA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51973-2025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45952</v>
      </c>
      <c r="E215" s="1" t="n">
        <v>46283</v>
      </c>
      <c r="F215" t="inlineStr">
        <is>
          <t>VÄSTRA GÖTALANDS LÄN</t>
        </is>
      </c>
      <c r="G215" t="inlineStr">
        <is>
          <t>HERRLJUNGA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51978-2025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45952</v>
      </c>
      <c r="E216" s="1" t="n">
        <v>46283</v>
      </c>
      <c r="F216" t="inlineStr">
        <is>
          <t>VÄSTRA GÖTALANDS LÄN</t>
        </is>
      </c>
      <c r="G216" t="inlineStr">
        <is>
          <t>HERRLJUNGA</t>
        </is>
      </c>
      <c r="I216" t="n">
        <v>3.2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44683-2023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45189</v>
      </c>
      <c r="E217" s="1" t="n">
        <v>46283</v>
      </c>
      <c r="F217" t="inlineStr">
        <is>
          <t>VÄSTRA GÖTALANDS LÄN</t>
        </is>
      </c>
      <c r="G217" t="inlineStr">
        <is>
          <t>HERRLJUNGA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46543-2024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45582</v>
      </c>
      <c r="E218" s="1" t="n">
        <v>46283</v>
      </c>
      <c r="F218" t="inlineStr">
        <is>
          <t>VÄSTRA GÖTALANDS LÄN</t>
        </is>
      </c>
      <c r="G218" t="inlineStr">
        <is>
          <t>HERRLJUNGA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25781-2026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46178</v>
      </c>
      <c r="E219" s="1" t="n">
        <v>46283</v>
      </c>
      <c r="F219" t="inlineStr">
        <is>
          <t>VÄSTRA GÖTALANDS LÄN</t>
        </is>
      </c>
      <c r="G219" t="inlineStr">
        <is>
          <t>HERRLJUNGA</t>
        </is>
      </c>
      <c r="I219" t="n">
        <v>5.5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26275-2026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46182</v>
      </c>
      <c r="E220" s="1" t="n">
        <v>46283</v>
      </c>
      <c r="F220" t="inlineStr">
        <is>
          <t>VÄSTRA GÖTALANDS LÄN</t>
        </is>
      </c>
      <c r="G220" t="inlineStr">
        <is>
          <t>HERRLJUNGA</t>
        </is>
      </c>
      <c r="H220" t="inlineStr">
        <is>
          <t>Kyrkan</t>
        </is>
      </c>
      <c r="I220" t="n">
        <v>1.8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67782-2021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44525</v>
      </c>
      <c r="E221" s="1" t="n">
        <v>46283</v>
      </c>
      <c r="F221" t="inlineStr">
        <is>
          <t>VÄSTRA GÖTALANDS LÄN</t>
        </is>
      </c>
      <c r="G221" t="inlineStr">
        <is>
          <t>HERRLJUNGA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26283-2026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46182</v>
      </c>
      <c r="E222" s="1" t="n">
        <v>46283</v>
      </c>
      <c r="F222" t="inlineStr">
        <is>
          <t>VÄSTRA GÖTALANDS LÄN</t>
        </is>
      </c>
      <c r="G222" t="inlineStr">
        <is>
          <t>HERRLJUNGA</t>
        </is>
      </c>
      <c r="H222" t="inlineStr">
        <is>
          <t>Kyrkan</t>
        </is>
      </c>
      <c r="I222" t="n">
        <v>1.4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26296-2026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46182</v>
      </c>
      <c r="E223" s="1" t="n">
        <v>46283</v>
      </c>
      <c r="F223" t="inlineStr">
        <is>
          <t>VÄSTRA GÖTALANDS LÄN</t>
        </is>
      </c>
      <c r="G223" t="inlineStr">
        <is>
          <t>HERRLJUNGA</t>
        </is>
      </c>
      <c r="I223" t="n">
        <v>2.3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52920-2025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45957</v>
      </c>
      <c r="E224" s="1" t="n">
        <v>46283</v>
      </c>
      <c r="F224" t="inlineStr">
        <is>
          <t>VÄSTRA GÖTALANDS LÄN</t>
        </is>
      </c>
      <c r="G224" t="inlineStr">
        <is>
          <t>HERRLJUNGA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26434-2023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45092</v>
      </c>
      <c r="E225" s="1" t="n">
        <v>46283</v>
      </c>
      <c r="F225" t="inlineStr">
        <is>
          <t>VÄSTRA GÖTALANDS LÄN</t>
        </is>
      </c>
      <c r="G225" t="inlineStr">
        <is>
          <t>HERRLJUNGA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18723-2025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45763</v>
      </c>
      <c r="E226" s="1" t="n">
        <v>46283</v>
      </c>
      <c r="F226" t="inlineStr">
        <is>
          <t>VÄSTRA GÖTALANDS LÄN</t>
        </is>
      </c>
      <c r="G226" t="inlineStr">
        <is>
          <t>HERRLJUNGA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52914-2025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45957</v>
      </c>
      <c r="E227" s="1" t="n">
        <v>46283</v>
      </c>
      <c r="F227" t="inlineStr">
        <is>
          <t>VÄSTRA GÖTALANDS LÄN</t>
        </is>
      </c>
      <c r="G227" t="inlineStr">
        <is>
          <t>HERRLJUNGA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52989-2025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45957</v>
      </c>
      <c r="E228" s="1" t="n">
        <v>46283</v>
      </c>
      <c r="F228" t="inlineStr">
        <is>
          <t>VÄSTRA GÖTALANDS LÄN</t>
        </is>
      </c>
      <c r="G228" t="inlineStr">
        <is>
          <t>HERRLJUNGA</t>
        </is>
      </c>
      <c r="I228" t="n">
        <v>1.7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43063-2024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46283</v>
      </c>
      <c r="F229" t="inlineStr">
        <is>
          <t>VÄSTRA GÖTALANDS LÄN</t>
        </is>
      </c>
      <c r="G229" t="inlineStr">
        <is>
          <t>HERRLJUNGA</t>
        </is>
      </c>
      <c r="I229" t="n">
        <v>4.1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73358-2021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44551</v>
      </c>
      <c r="E230" s="1" t="n">
        <v>46283</v>
      </c>
      <c r="F230" t="inlineStr">
        <is>
          <t>VÄSTRA GÖTALANDS LÄN</t>
        </is>
      </c>
      <c r="G230" t="inlineStr">
        <is>
          <t>HERRLJUNGA</t>
        </is>
      </c>
      <c r="I230" t="n">
        <v>5.1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6239-2024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45337</v>
      </c>
      <c r="E231" s="1" t="n">
        <v>46283</v>
      </c>
      <c r="F231" t="inlineStr">
        <is>
          <t>VÄSTRA GÖTALANDS LÄN</t>
        </is>
      </c>
      <c r="G231" t="inlineStr">
        <is>
          <t>HERRLJUNGA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54810-2025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45966</v>
      </c>
      <c r="E232" s="1" t="n">
        <v>46283</v>
      </c>
      <c r="F232" t="inlineStr">
        <is>
          <t>VÄSTRA GÖTALANDS LÄN</t>
        </is>
      </c>
      <c r="G232" t="inlineStr">
        <is>
          <t>HERRLJUNGA</t>
        </is>
      </c>
      <c r="I232" t="n">
        <v>3.3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54812-2025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46283</v>
      </c>
      <c r="F233" t="inlineStr">
        <is>
          <t>VÄSTRA GÖTALANDS LÄN</t>
        </is>
      </c>
      <c r="G233" t="inlineStr">
        <is>
          <t>HERRLJUNGA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28203-2026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46196</v>
      </c>
      <c r="E234" s="1" t="n">
        <v>46283</v>
      </c>
      <c r="F234" t="inlineStr">
        <is>
          <t>VÄSTRA GÖTALANDS LÄN</t>
        </is>
      </c>
      <c r="G234" t="inlineStr">
        <is>
          <t>HERRLJUNGA</t>
        </is>
      </c>
      <c r="H234" t="inlineStr">
        <is>
          <t>Kyrkan</t>
        </is>
      </c>
      <c r="I234" t="n">
        <v>1.6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4948-2022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44593</v>
      </c>
      <c r="E235" s="1" t="n">
        <v>46283</v>
      </c>
      <c r="F235" t="inlineStr">
        <is>
          <t>VÄSTRA GÖTALANDS LÄN</t>
        </is>
      </c>
      <c r="G235" t="inlineStr">
        <is>
          <t>HERRLJUNGA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47057-2023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45196</v>
      </c>
      <c r="E236" s="1" t="n">
        <v>46283</v>
      </c>
      <c r="F236" t="inlineStr">
        <is>
          <t>VÄSTRA GÖTALANDS LÄN</t>
        </is>
      </c>
      <c r="G236" t="inlineStr">
        <is>
          <t>HERRLJUNGA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24475-2023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45082</v>
      </c>
      <c r="E237" s="1" t="n">
        <v>46283</v>
      </c>
      <c r="F237" t="inlineStr">
        <is>
          <t>VÄSTRA GÖTALANDS LÄN</t>
        </is>
      </c>
      <c r="G237" t="inlineStr">
        <is>
          <t>HERRLJUNGA</t>
        </is>
      </c>
      <c r="H237" t="inlineStr">
        <is>
          <t>Sveaskog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45518-2023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45194</v>
      </c>
      <c r="E238" s="1" t="n">
        <v>46283</v>
      </c>
      <c r="F238" t="inlineStr">
        <is>
          <t>VÄSTRA GÖTALANDS LÄN</t>
        </is>
      </c>
      <c r="G238" t="inlineStr">
        <is>
          <t>HERRLJUNGA</t>
        </is>
      </c>
      <c r="I238" t="n">
        <v>6.5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16120-2022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44665</v>
      </c>
      <c r="E239" s="1" t="n">
        <v>46283</v>
      </c>
      <c r="F239" t="inlineStr">
        <is>
          <t>VÄSTRA GÖTALANDS LÄN</t>
        </is>
      </c>
      <c r="G239" t="inlineStr">
        <is>
          <t>HERRLJUNGA</t>
        </is>
      </c>
      <c r="I239" t="n">
        <v>5.2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28413-2023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45101</v>
      </c>
      <c r="E240" s="1" t="n">
        <v>46283</v>
      </c>
      <c r="F240" t="inlineStr">
        <is>
          <t>VÄSTRA GÖTALANDS LÄN</t>
        </is>
      </c>
      <c r="G240" t="inlineStr">
        <is>
          <t>HERRLJUNGA</t>
        </is>
      </c>
      <c r="I240" t="n">
        <v>5.9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56896-2025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45978</v>
      </c>
      <c r="E241" s="1" t="n">
        <v>46283</v>
      </c>
      <c r="F241" t="inlineStr">
        <is>
          <t>VÄSTRA GÖTALANDS LÄN</t>
        </is>
      </c>
      <c r="G241" t="inlineStr">
        <is>
          <t>HERRLJUNGA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53773-2024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45615</v>
      </c>
      <c r="E242" s="1" t="n">
        <v>46283</v>
      </c>
      <c r="F242" t="inlineStr">
        <is>
          <t>VÄSTRA GÖTALANDS LÄN</t>
        </is>
      </c>
      <c r="G242" t="inlineStr">
        <is>
          <t>HERRLJUNGA</t>
        </is>
      </c>
      <c r="I242" t="n">
        <v>3.4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56396-2025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45974</v>
      </c>
      <c r="E243" s="1" t="n">
        <v>46283</v>
      </c>
      <c r="F243" t="inlineStr">
        <is>
          <t>VÄSTRA GÖTALANDS LÄN</t>
        </is>
      </c>
      <c r="G243" t="inlineStr">
        <is>
          <t>HERRLJUNGA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33215-2026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46246</v>
      </c>
      <c r="E244" s="1" t="n">
        <v>46283</v>
      </c>
      <c r="F244" t="inlineStr">
        <is>
          <t>VÄSTRA GÖTALANDS LÄN</t>
        </is>
      </c>
      <c r="G244" t="inlineStr">
        <is>
          <t>HERRLJUNGA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57325-2025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45980</v>
      </c>
      <c r="E245" s="1" t="n">
        <v>46283</v>
      </c>
      <c r="F245" t="inlineStr">
        <is>
          <t>VÄSTRA GÖTALANDS LÄN</t>
        </is>
      </c>
      <c r="G245" t="inlineStr">
        <is>
          <t>HERRLJUNGA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284-2025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45660</v>
      </c>
      <c r="E246" s="1" t="n">
        <v>46283</v>
      </c>
      <c r="F246" t="inlineStr">
        <is>
          <t>VÄSTRA GÖTALANDS LÄN</t>
        </is>
      </c>
      <c r="G246" t="inlineStr">
        <is>
          <t>HERRLJUNGA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29461-2026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46203</v>
      </c>
      <c r="E247" s="1" t="n">
        <v>46283</v>
      </c>
      <c r="F247" t="inlineStr">
        <is>
          <t>VÄSTRA GÖTALANDS LÄN</t>
        </is>
      </c>
      <c r="G247" t="inlineStr">
        <is>
          <t>HERRLJUNGA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26816-2022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44740</v>
      </c>
      <c r="E248" s="1" t="n">
        <v>46283</v>
      </c>
      <c r="F248" t="inlineStr">
        <is>
          <t>VÄSTRA GÖTALANDS LÄN</t>
        </is>
      </c>
      <c r="G248" t="inlineStr">
        <is>
          <t>HERRLJUNGA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33653-2026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46248</v>
      </c>
      <c r="E249" s="1" t="n">
        <v>46283</v>
      </c>
      <c r="F249" t="inlineStr">
        <is>
          <t>VÄSTRA GÖTALANDS LÄN</t>
        </is>
      </c>
      <c r="G249" t="inlineStr">
        <is>
          <t>HERRLJUNGA</t>
        </is>
      </c>
      <c r="I249" t="n">
        <v>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58224-2025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45985</v>
      </c>
      <c r="E250" s="1" t="n">
        <v>46283</v>
      </c>
      <c r="F250" t="inlineStr">
        <is>
          <t>VÄSTRA GÖTALANDS LÄN</t>
        </is>
      </c>
      <c r="G250" t="inlineStr">
        <is>
          <t>HERRLJUNGA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18511-2022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44686</v>
      </c>
      <c r="E251" s="1" t="n">
        <v>46283</v>
      </c>
      <c r="F251" t="inlineStr">
        <is>
          <t>VÄSTRA GÖTALANDS LÄN</t>
        </is>
      </c>
      <c r="G251" t="inlineStr">
        <is>
          <t>HERRLJUNGA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45685</v>
      </c>
      <c r="E252" s="1" t="n">
        <v>46283</v>
      </c>
      <c r="F252" t="inlineStr">
        <is>
          <t>VÄSTRA GÖTALANDS LÄN</t>
        </is>
      </c>
      <c r="G252" t="inlineStr">
        <is>
          <t>HERRLJUNGA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12487-2022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44638</v>
      </c>
      <c r="E253" s="1" t="n">
        <v>46283</v>
      </c>
      <c r="F253" t="inlineStr">
        <is>
          <t>VÄSTRA GÖTALANDS LÄN</t>
        </is>
      </c>
      <c r="G253" t="inlineStr">
        <is>
          <t>HERRLJUNGA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37112-2023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45155</v>
      </c>
      <c r="E254" s="1" t="n">
        <v>46283</v>
      </c>
      <c r="F254" t="inlineStr">
        <is>
          <t>VÄSTRA GÖTALANDS LÄN</t>
        </is>
      </c>
      <c r="G254" t="inlineStr">
        <is>
          <t>HERRLJUNGA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55170-2024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45621</v>
      </c>
      <c r="E255" s="1" t="n">
        <v>46283</v>
      </c>
      <c r="F255" t="inlineStr">
        <is>
          <t>VÄSTRA GÖTALANDS LÄN</t>
        </is>
      </c>
      <c r="G255" t="inlineStr">
        <is>
          <t>HERRLJUNGA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39057-2025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45888</v>
      </c>
      <c r="E256" s="1" t="n">
        <v>46283</v>
      </c>
      <c r="F256" t="inlineStr">
        <is>
          <t>VÄSTRA GÖTALANDS LÄN</t>
        </is>
      </c>
      <c r="G256" t="inlineStr">
        <is>
          <t>HERRLJUNGA</t>
        </is>
      </c>
      <c r="I256" t="n">
        <v>2.3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58746-2025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45986</v>
      </c>
      <c r="E257" s="1" t="n">
        <v>46283</v>
      </c>
      <c r="F257" t="inlineStr">
        <is>
          <t>VÄSTRA GÖTALANDS LÄN</t>
        </is>
      </c>
      <c r="G257" t="inlineStr">
        <is>
          <t>HERRLJUNGA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29825-2026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46205</v>
      </c>
      <c r="E258" s="1" t="n">
        <v>46283</v>
      </c>
      <c r="F258" t="inlineStr">
        <is>
          <t>VÄSTRA GÖTALANDS LÄN</t>
        </is>
      </c>
      <c r="G258" t="inlineStr">
        <is>
          <t>HERRLJUNGA</t>
        </is>
      </c>
      <c r="I258" t="n">
        <v>2.5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58742-2025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45986</v>
      </c>
      <c r="E259" s="1" t="n">
        <v>46283</v>
      </c>
      <c r="F259" t="inlineStr">
        <is>
          <t>VÄSTRA GÖTALANDS LÄN</t>
        </is>
      </c>
      <c r="G259" t="inlineStr">
        <is>
          <t>HERRLJUNGA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58752-2025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45986</v>
      </c>
      <c r="E260" s="1" t="n">
        <v>46283</v>
      </c>
      <c r="F260" t="inlineStr">
        <is>
          <t>VÄSTRA GÖTALANDS LÄN</t>
        </is>
      </c>
      <c r="G260" t="inlineStr">
        <is>
          <t>HERRLJUNGA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57959-2022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44900</v>
      </c>
      <c r="E261" s="1" t="n">
        <v>46283</v>
      </c>
      <c r="F261" t="inlineStr">
        <is>
          <t>VÄSTRA GÖTALANDS LÄN</t>
        </is>
      </c>
      <c r="G261" t="inlineStr">
        <is>
          <t>HERRLJUNGA</t>
        </is>
      </c>
      <c r="I261" t="n">
        <v>4.8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58220-2025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45985</v>
      </c>
      <c r="E262" s="1" t="n">
        <v>46283</v>
      </c>
      <c r="F262" t="inlineStr">
        <is>
          <t>VÄSTRA GÖTALANDS LÄN</t>
        </is>
      </c>
      <c r="G262" t="inlineStr">
        <is>
          <t>HERRLJUNGA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54922-2023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45236</v>
      </c>
      <c r="E263" s="1" t="n">
        <v>46283</v>
      </c>
      <c r="F263" t="inlineStr">
        <is>
          <t>VÄSTRA GÖTALANDS LÄN</t>
        </is>
      </c>
      <c r="G263" t="inlineStr">
        <is>
          <t>HERRLJUNGA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18508-2022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44686</v>
      </c>
      <c r="E264" s="1" t="n">
        <v>46283</v>
      </c>
      <c r="F264" t="inlineStr">
        <is>
          <t>VÄSTRA GÖTALANDS LÄN</t>
        </is>
      </c>
      <c r="G264" t="inlineStr">
        <is>
          <t>HERRLJUNGA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33840-2026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46251</v>
      </c>
      <c r="E265" s="1" t="n">
        <v>46283</v>
      </c>
      <c r="F265" t="inlineStr">
        <is>
          <t>VÄSTRA GÖTALANDS LÄN</t>
        </is>
      </c>
      <c r="G265" t="inlineStr">
        <is>
          <t>HERRLJUNGA</t>
        </is>
      </c>
      <c r="I265" t="n">
        <v>5.7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1124-2026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46283</v>
      </c>
      <c r="F266" t="inlineStr">
        <is>
          <t>VÄSTRA GÖTALANDS LÄN</t>
        </is>
      </c>
      <c r="G266" t="inlineStr">
        <is>
          <t>HERRLJUNGA</t>
        </is>
      </c>
      <c r="H266" t="inlineStr">
        <is>
          <t>Övriga statliga verk och myndigheter</t>
        </is>
      </c>
      <c r="I266" t="n">
        <v>3.3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46253</v>
      </c>
      <c r="E267" s="1" t="n">
        <v>46283</v>
      </c>
      <c r="F267" t="inlineStr">
        <is>
          <t>VÄSTRA GÖTALANDS LÄN</t>
        </is>
      </c>
      <c r="G267" t="inlineStr">
        <is>
          <t>HERRLJUNGA</t>
        </is>
      </c>
      <c r="H267" t="inlineStr">
        <is>
          <t>Kyrkan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44355-2023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45188</v>
      </c>
      <c r="E268" s="1" t="n">
        <v>46283</v>
      </c>
      <c r="F268" t="inlineStr">
        <is>
          <t>VÄSTRA GÖTALANDS LÄN</t>
        </is>
      </c>
      <c r="G268" t="inlineStr">
        <is>
          <t>HERRLJUNGA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27204-2026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46188</v>
      </c>
      <c r="E269" s="1" t="n">
        <v>46283</v>
      </c>
      <c r="F269" t="inlineStr">
        <is>
          <t>VÄSTRA GÖTALANDS LÄN</t>
        </is>
      </c>
      <c r="G269" t="inlineStr">
        <is>
          <t>HERRLJUNGA</t>
        </is>
      </c>
      <c r="I269" t="n">
        <v>1.8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1128-2026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46029</v>
      </c>
      <c r="E270" s="1" t="n">
        <v>46283</v>
      </c>
      <c r="F270" t="inlineStr">
        <is>
          <t>VÄSTRA GÖTALANDS LÄN</t>
        </is>
      </c>
      <c r="G270" t="inlineStr">
        <is>
          <t>HERRLJUNGA</t>
        </is>
      </c>
      <c r="H270" t="inlineStr">
        <is>
          <t>Övriga statliga verk och myndigheter</t>
        </is>
      </c>
      <c r="I270" t="n">
        <v>4.4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58800-2025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45986</v>
      </c>
      <c r="E271" s="1" t="n">
        <v>46283</v>
      </c>
      <c r="F271" t="inlineStr">
        <is>
          <t>VÄSTRA GÖTALANDS LÄN</t>
        </is>
      </c>
      <c r="G271" t="inlineStr">
        <is>
          <t>HERRLJUNGA</t>
        </is>
      </c>
      <c r="I271" t="n">
        <v>3.3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59525-2025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45989</v>
      </c>
      <c r="E272" s="1" t="n">
        <v>46283</v>
      </c>
      <c r="F272" t="inlineStr">
        <is>
          <t>VÄSTRA GÖTALANDS LÄN</t>
        </is>
      </c>
      <c r="G272" t="inlineStr">
        <is>
          <t>HERRLJUNGA</t>
        </is>
      </c>
      <c r="H272" t="inlineStr">
        <is>
          <t>Kyrkan</t>
        </is>
      </c>
      <c r="I272" t="n">
        <v>7.9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1403-2024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45303</v>
      </c>
      <c r="E273" s="1" t="n">
        <v>46283</v>
      </c>
      <c r="F273" t="inlineStr">
        <is>
          <t>VÄSTRA GÖTALANDS LÄN</t>
        </is>
      </c>
      <c r="G273" t="inlineStr">
        <is>
          <t>HERRLJUNGA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20646-2022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44700</v>
      </c>
      <c r="E274" s="1" t="n">
        <v>46283</v>
      </c>
      <c r="F274" t="inlineStr">
        <is>
          <t>VÄSTRA GÖTALANDS LÄN</t>
        </is>
      </c>
      <c r="G274" t="inlineStr">
        <is>
          <t>HERRLJUNGA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59387-2025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45989</v>
      </c>
      <c r="E275" s="1" t="n">
        <v>46283</v>
      </c>
      <c r="F275" t="inlineStr">
        <is>
          <t>VÄSTRA GÖTALANDS LÄN</t>
        </is>
      </c>
      <c r="G275" t="inlineStr">
        <is>
          <t>HERRLJUNGA</t>
        </is>
      </c>
      <c r="H275" t="inlineStr">
        <is>
          <t>Kyrkan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17243-2025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45756</v>
      </c>
      <c r="E276" s="1" t="n">
        <v>46283</v>
      </c>
      <c r="F276" t="inlineStr">
        <is>
          <t>VÄSTRA GÖTALANDS LÄN</t>
        </is>
      </c>
      <c r="G276" t="inlineStr">
        <is>
          <t>HERRLJUNGA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60019-2025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45993</v>
      </c>
      <c r="E277" s="1" t="n">
        <v>46283</v>
      </c>
      <c r="F277" t="inlineStr">
        <is>
          <t>VÄSTRA GÖTALANDS LÄN</t>
        </is>
      </c>
      <c r="G277" t="inlineStr">
        <is>
          <t>HERRLJUNGA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61701-2023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45265</v>
      </c>
      <c r="E278" s="1" t="n">
        <v>46283</v>
      </c>
      <c r="F278" t="inlineStr">
        <is>
          <t>VÄSTRA GÖTALANDS LÄN</t>
        </is>
      </c>
      <c r="G278" t="inlineStr">
        <is>
          <t>HERRLJUNGA</t>
        </is>
      </c>
      <c r="I278" t="n">
        <v>2.1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4435-2024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45327</v>
      </c>
      <c r="E279" s="1" t="n">
        <v>46283</v>
      </c>
      <c r="F279" t="inlineStr">
        <is>
          <t>VÄSTRA GÖTALANDS LÄN</t>
        </is>
      </c>
      <c r="G279" t="inlineStr">
        <is>
          <t>HERRLJUNGA</t>
        </is>
      </c>
      <c r="I279" t="n">
        <v>5.3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62689-2023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45271</v>
      </c>
      <c r="E280" s="1" t="n">
        <v>46283</v>
      </c>
      <c r="F280" t="inlineStr">
        <is>
          <t>VÄSTRA GÖTALANDS LÄN</t>
        </is>
      </c>
      <c r="G280" t="inlineStr">
        <is>
          <t>HERRLJUNGA</t>
        </is>
      </c>
      <c r="I280" t="n">
        <v>3.7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15384-2025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45747</v>
      </c>
      <c r="E281" s="1" t="n">
        <v>46283</v>
      </c>
      <c r="F281" t="inlineStr">
        <is>
          <t>VÄSTRA GÖTALANDS LÄN</t>
        </is>
      </c>
      <c r="G281" t="inlineStr">
        <is>
          <t>HERRLJUNGA</t>
        </is>
      </c>
      <c r="I281" t="n">
        <v>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13577-2025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45736</v>
      </c>
      <c r="E282" s="1" t="n">
        <v>46283</v>
      </c>
      <c r="F282" t="inlineStr">
        <is>
          <t>VÄSTRA GÖTALANDS LÄN</t>
        </is>
      </c>
      <c r="G282" t="inlineStr">
        <is>
          <t>HERRLJUNGA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36064-2026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46267</v>
      </c>
      <c r="E283" s="1" t="n">
        <v>46283</v>
      </c>
      <c r="F283" t="inlineStr">
        <is>
          <t>VÄSTRA GÖTALANDS LÄN</t>
        </is>
      </c>
      <c r="G283" t="inlineStr">
        <is>
          <t>HERRLJUNGA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36068-2026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46267</v>
      </c>
      <c r="E284" s="1" t="n">
        <v>46283</v>
      </c>
      <c r="F284" t="inlineStr">
        <is>
          <t>VÄSTRA GÖTALANDS LÄN</t>
        </is>
      </c>
      <c r="G284" t="inlineStr">
        <is>
          <t>HERRLJUNGA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64977-2023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45285</v>
      </c>
      <c r="E285" s="1" t="n">
        <v>46283</v>
      </c>
      <c r="F285" t="inlineStr">
        <is>
          <t>VÄSTRA GÖTALANDS LÄN</t>
        </is>
      </c>
      <c r="G285" t="inlineStr">
        <is>
          <t>HERRLJUNGA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42358-2024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45562</v>
      </c>
      <c r="E286" s="1" t="n">
        <v>46283</v>
      </c>
      <c r="F286" t="inlineStr">
        <is>
          <t>VÄSTRA GÖTALANDS LÄN</t>
        </is>
      </c>
      <c r="G286" t="inlineStr">
        <is>
          <t>HERRLJUNGA</t>
        </is>
      </c>
      <c r="I286" t="n">
        <v>4.2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36577-2026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46269</v>
      </c>
      <c r="E287" s="1" t="n">
        <v>46283</v>
      </c>
      <c r="F287" t="inlineStr">
        <is>
          <t>VÄSTRA GÖTALANDS LÄN</t>
        </is>
      </c>
      <c r="G287" t="inlineStr">
        <is>
          <t>HERRLJUNGA</t>
        </is>
      </c>
      <c r="I287" t="n">
        <v>2.5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480-2024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45298</v>
      </c>
      <c r="E288" s="1" t="n">
        <v>46283</v>
      </c>
      <c r="F288" t="inlineStr">
        <is>
          <t>VÄSTRA GÖTALANDS LÄN</t>
        </is>
      </c>
      <c r="G288" t="inlineStr">
        <is>
          <t>HERRLJUNGA</t>
        </is>
      </c>
      <c r="I288" t="n">
        <v>3.7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51254-2023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45219</v>
      </c>
      <c r="E289" s="1" t="n">
        <v>46283</v>
      </c>
      <c r="F289" t="inlineStr">
        <is>
          <t>VÄSTRA GÖTALANDS LÄN</t>
        </is>
      </c>
      <c r="G289" t="inlineStr">
        <is>
          <t>HERRLJUNGA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5760-2024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45335</v>
      </c>
      <c r="E290" s="1" t="n">
        <v>46283</v>
      </c>
      <c r="F290" t="inlineStr">
        <is>
          <t>VÄSTRA GÖTALANDS LÄN</t>
        </is>
      </c>
      <c r="G290" t="inlineStr">
        <is>
          <t>HERRLJUNGA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64105-2025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46013</v>
      </c>
      <c r="E291" s="1" t="n">
        <v>46283</v>
      </c>
      <c r="F291" t="inlineStr">
        <is>
          <t>VÄSTRA GÖTALANDS LÄN</t>
        </is>
      </c>
      <c r="G291" t="inlineStr">
        <is>
          <t>HERRLJUNGA</t>
        </is>
      </c>
      <c r="I291" t="n">
        <v>1.8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36865-2026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46272</v>
      </c>
      <c r="E292" s="1" t="n">
        <v>46283</v>
      </c>
      <c r="F292" t="inlineStr">
        <is>
          <t>VÄSTRA GÖTALANDS LÄN</t>
        </is>
      </c>
      <c r="G292" t="inlineStr">
        <is>
          <t>HERRLJUNGA</t>
        </is>
      </c>
      <c r="I292" t="n">
        <v>2.1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38514-2024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45546</v>
      </c>
      <c r="E293" s="1" t="n">
        <v>46283</v>
      </c>
      <c r="F293" t="inlineStr">
        <is>
          <t>VÄSTRA GÖTALANDS LÄN</t>
        </is>
      </c>
      <c r="G293" t="inlineStr">
        <is>
          <t>HERRLJUNGA</t>
        </is>
      </c>
      <c r="I293" t="n">
        <v>1.9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34088-2026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46252</v>
      </c>
      <c r="E294" s="1" t="n">
        <v>46283</v>
      </c>
      <c r="F294" t="inlineStr">
        <is>
          <t>VÄSTRA GÖTALANDS LÄN</t>
        </is>
      </c>
      <c r="G294" t="inlineStr">
        <is>
          <t>HERRLJUNGA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6834-2025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46283</v>
      </c>
      <c r="F295" t="inlineStr">
        <is>
          <t>VÄSTRA GÖTALANDS LÄN</t>
        </is>
      </c>
      <c r="G295" t="inlineStr">
        <is>
          <t>HERRLJUNGA</t>
        </is>
      </c>
      <c r="I295" t="n">
        <v>2.8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7411-2025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45705</v>
      </c>
      <c r="E296" s="1" t="n">
        <v>46283</v>
      </c>
      <c r="F296" t="inlineStr">
        <is>
          <t>VÄSTRA GÖTALANDS LÄN</t>
        </is>
      </c>
      <c r="G296" t="inlineStr">
        <is>
          <t>HERRLJUNGA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61766-2022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44917</v>
      </c>
      <c r="E297" s="1" t="n">
        <v>46283</v>
      </c>
      <c r="F297" t="inlineStr">
        <is>
          <t>VÄSTRA GÖTALANDS LÄN</t>
        </is>
      </c>
      <c r="G297" t="inlineStr">
        <is>
          <t>HERRLJUNGA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48597-2022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44854</v>
      </c>
      <c r="E298" s="1" t="n">
        <v>46283</v>
      </c>
      <c r="F298" t="inlineStr">
        <is>
          <t>VÄSTRA GÖTALANDS LÄN</t>
        </is>
      </c>
      <c r="G298" t="inlineStr">
        <is>
          <t>HERRLJUNGA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38467-2024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45546</v>
      </c>
      <c r="E299" s="1" t="n">
        <v>46283</v>
      </c>
      <c r="F299" t="inlineStr">
        <is>
          <t>VÄSTRA GÖTALANDS LÄN</t>
        </is>
      </c>
      <c r="G299" t="inlineStr">
        <is>
          <t>HERRLJUNGA</t>
        </is>
      </c>
      <c r="I299" t="n">
        <v>1.9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38470-2024</t>
        </is>
      </c>
      <c r="B300" t="inlineStr">
        <is>
          <t>avverkningsanmälan</t>
        </is>
      </c>
      <c r="C300" t="inlineStr">
        <is>
          <t>Avverkning för att bevara och utveckla /försöksver</t>
        </is>
      </c>
      <c r="D300" s="1" t="n">
        <v>45546</v>
      </c>
      <c r="E300" s="1" t="n">
        <v>46283</v>
      </c>
      <c r="F300" t="inlineStr">
        <is>
          <t>VÄSTRA GÖTALANDS LÄN</t>
        </is>
      </c>
      <c r="G300" t="inlineStr">
        <is>
          <t>HERRLJUNGA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56355-2022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44890</v>
      </c>
      <c r="E301" s="1" t="n">
        <v>46283</v>
      </c>
      <c r="F301" t="inlineStr">
        <is>
          <t>VÄSTRA GÖTALANDS LÄN</t>
        </is>
      </c>
      <c r="G301" t="inlineStr">
        <is>
          <t>HERRLJUNGA</t>
        </is>
      </c>
      <c r="I301" t="n">
        <v>7.8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61698-2023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45265</v>
      </c>
      <c r="E302" s="1" t="n">
        <v>46283</v>
      </c>
      <c r="F302" t="inlineStr">
        <is>
          <t>VÄSTRA GÖTALANDS LÄN</t>
        </is>
      </c>
      <c r="G302" t="inlineStr">
        <is>
          <t>HERRLJUNGA</t>
        </is>
      </c>
      <c r="I302" t="n">
        <v>1.9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37102-2023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45155</v>
      </c>
      <c r="E303" s="1" t="n">
        <v>46283</v>
      </c>
      <c r="F303" t="inlineStr">
        <is>
          <t>VÄSTRA GÖTALANDS LÄN</t>
        </is>
      </c>
      <c r="G303" t="inlineStr">
        <is>
          <t>HERRLJUNGA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7182-2022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44605</v>
      </c>
      <c r="E304" s="1" t="n">
        <v>46283</v>
      </c>
      <c r="F304" t="inlineStr">
        <is>
          <t>VÄSTRA GÖTALANDS LÄN</t>
        </is>
      </c>
      <c r="G304" t="inlineStr">
        <is>
          <t>HERRLJUNGA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53950-2023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45231</v>
      </c>
      <c r="E305" s="1" t="n">
        <v>46283</v>
      </c>
      <c r="F305" t="inlineStr">
        <is>
          <t>VÄSTRA GÖTALANDS LÄN</t>
        </is>
      </c>
      <c r="G305" t="inlineStr">
        <is>
          <t>HERRLJUNGA</t>
        </is>
      </c>
      <c r="I305" t="n">
        <v>1.1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15395-2022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44659</v>
      </c>
      <c r="E306" s="1" t="n">
        <v>46283</v>
      </c>
      <c r="F306" t="inlineStr">
        <is>
          <t>VÄSTRA GÖTALANDS LÄN</t>
        </is>
      </c>
      <c r="G306" t="inlineStr">
        <is>
          <t>HERRLJUNGA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38374-2026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46282</v>
      </c>
      <c r="E307" s="1" t="n">
        <v>46283</v>
      </c>
      <c r="F307" t="inlineStr">
        <is>
          <t>VÄSTRA GÖTALANDS LÄN</t>
        </is>
      </c>
      <c r="G307" t="inlineStr">
        <is>
          <t>HERRLJUNGA</t>
        </is>
      </c>
      <c r="I307" t="n">
        <v>5.9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38375-2026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46282</v>
      </c>
      <c r="E308" s="1" t="n">
        <v>46283</v>
      </c>
      <c r="F308" t="inlineStr">
        <is>
          <t>VÄSTRA GÖTALANDS LÄN</t>
        </is>
      </c>
      <c r="G308" t="inlineStr">
        <is>
          <t>HERRLJUNGA</t>
        </is>
      </c>
      <c r="I308" t="n">
        <v>4.2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38381-2026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46282</v>
      </c>
      <c r="E309" s="1" t="n">
        <v>46283</v>
      </c>
      <c r="F309" t="inlineStr">
        <is>
          <t>VÄSTRA GÖTALANDS LÄN</t>
        </is>
      </c>
      <c r="G309" t="inlineStr">
        <is>
          <t>HERRLJUNGA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1340-2026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46031</v>
      </c>
      <c r="E310" s="1" t="n">
        <v>46283</v>
      </c>
      <c r="F310" t="inlineStr">
        <is>
          <t>VÄSTRA GÖTALANDS LÄN</t>
        </is>
      </c>
      <c r="G310" t="inlineStr">
        <is>
          <t>HERRLJUNGA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1354-2026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46031</v>
      </c>
      <c r="E311" s="1" t="n">
        <v>46283</v>
      </c>
      <c r="F311" t="inlineStr">
        <is>
          <t>VÄSTRA GÖTALANDS LÄN</t>
        </is>
      </c>
      <c r="G311" t="inlineStr">
        <is>
          <t>HERRLJUNGA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42126-2023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45177</v>
      </c>
      <c r="E312" s="1" t="n">
        <v>46283</v>
      </c>
      <c r="F312" t="inlineStr">
        <is>
          <t>VÄSTRA GÖTALANDS LÄN</t>
        </is>
      </c>
      <c r="G312" t="inlineStr">
        <is>
          <t>HERRLJUNGA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1344-2026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46283</v>
      </c>
      <c r="F313" t="inlineStr">
        <is>
          <t>VÄSTRA GÖTALANDS LÄN</t>
        </is>
      </c>
      <c r="G313" t="inlineStr">
        <is>
          <t>HERRLJUNGA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36652-2023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45153</v>
      </c>
      <c r="E314" s="1" t="n">
        <v>46283</v>
      </c>
      <c r="F314" t="inlineStr">
        <is>
          <t>VÄSTRA GÖTALANDS LÄN</t>
        </is>
      </c>
      <c r="G314" t="inlineStr">
        <is>
          <t>HERRLJUNGA</t>
        </is>
      </c>
      <c r="I314" t="n">
        <v>0.8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1248-2026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46031</v>
      </c>
      <c r="E315" s="1" t="n">
        <v>46283</v>
      </c>
      <c r="F315" t="inlineStr">
        <is>
          <t>VÄSTRA GÖTALANDS LÄN</t>
        </is>
      </c>
      <c r="G315" t="inlineStr">
        <is>
          <t>HERRLJUNGA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1335-2026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46283</v>
      </c>
      <c r="F316" t="inlineStr">
        <is>
          <t>VÄSTRA GÖTALANDS LÄN</t>
        </is>
      </c>
      <c r="G316" t="inlineStr">
        <is>
          <t>HERRLJUNGA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46031</v>
      </c>
      <c r="E317" s="1" t="n">
        <v>46283</v>
      </c>
      <c r="F317" t="inlineStr">
        <is>
          <t>VÄSTRA GÖTALANDS LÄN</t>
        </is>
      </c>
      <c r="G317" t="inlineStr">
        <is>
          <t>HERRLJUNGA</t>
        </is>
      </c>
      <c r="I317" t="n">
        <v>2.9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54875-2021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44474</v>
      </c>
      <c r="E318" s="1" t="n">
        <v>46283</v>
      </c>
      <c r="F318" t="inlineStr">
        <is>
          <t>VÄSTRA GÖTALANDS LÄN</t>
        </is>
      </c>
      <c r="G318" t="inlineStr">
        <is>
          <t>HERRLJUNGA</t>
        </is>
      </c>
      <c r="I318" t="n">
        <v>8.1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38384-2026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46282</v>
      </c>
      <c r="E319" s="1" t="n">
        <v>46283</v>
      </c>
      <c r="F319" t="inlineStr">
        <is>
          <t>VÄSTRA GÖTALANDS LÄN</t>
        </is>
      </c>
      <c r="G319" t="inlineStr">
        <is>
          <t>HERRLJUNGA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1353-2026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46031</v>
      </c>
      <c r="E320" s="1" t="n">
        <v>46283</v>
      </c>
      <c r="F320" t="inlineStr">
        <is>
          <t>VÄSTRA GÖTALANDS LÄN</t>
        </is>
      </c>
      <c r="G320" t="inlineStr">
        <is>
          <t>HERRLJUNGA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1348-2026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46283</v>
      </c>
      <c r="F321" t="inlineStr">
        <is>
          <t>VÄSTRA GÖTALANDS LÄN</t>
        </is>
      </c>
      <c r="G321" t="inlineStr">
        <is>
          <t>HERRLJUNGA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56316-2024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45624</v>
      </c>
      <c r="E322" s="1" t="n">
        <v>46283</v>
      </c>
      <c r="F322" t="inlineStr">
        <is>
          <t>VÄSTRA GÖTALANDS LÄN</t>
        </is>
      </c>
      <c r="G322" t="inlineStr">
        <is>
          <t>HERRLJUNGA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19056-2022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44691</v>
      </c>
      <c r="E323" s="1" t="n">
        <v>46283</v>
      </c>
      <c r="F323" t="inlineStr">
        <is>
          <t>VÄSTRA GÖTALANDS LÄN</t>
        </is>
      </c>
      <c r="G323" t="inlineStr">
        <is>
          <t>HERRLJUNGA</t>
        </is>
      </c>
      <c r="I323" t="n">
        <v>4.2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1911-2026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46283</v>
      </c>
      <c r="F324" t="inlineStr">
        <is>
          <t>VÄSTRA GÖTALANDS LÄN</t>
        </is>
      </c>
      <c r="G324" t="inlineStr">
        <is>
          <t>HERRLJUNGA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2395-2026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46036</v>
      </c>
      <c r="E325" s="1" t="n">
        <v>46283</v>
      </c>
      <c r="F325" t="inlineStr">
        <is>
          <t>VÄSTRA GÖTALANDS LÄN</t>
        </is>
      </c>
      <c r="G325" t="inlineStr">
        <is>
          <t>HERRLJUNGA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49920-2023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45214</v>
      </c>
      <c r="E326" s="1" t="n">
        <v>46283</v>
      </c>
      <c r="F326" t="inlineStr">
        <is>
          <t>VÄSTRA GÖTALANDS LÄN</t>
        </is>
      </c>
      <c r="G326" t="inlineStr">
        <is>
          <t>HERRLJUNGA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14168-2023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45009</v>
      </c>
      <c r="E327" s="1" t="n">
        <v>46283</v>
      </c>
      <c r="F327" t="inlineStr">
        <is>
          <t>VÄSTRA GÖTALANDS LÄN</t>
        </is>
      </c>
      <c r="G327" t="inlineStr">
        <is>
          <t>HERRLJUNGA</t>
        </is>
      </c>
      <c r="I327" t="n">
        <v>1.6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4368-2026</t>
        </is>
      </c>
      <c r="B328" t="inlineStr">
        <is>
          <t>avverkningsanmälan</t>
        </is>
      </c>
      <c r="C328" t="inlineStr">
        <is>
          <t>Avverkning för annat ändamål</t>
        </is>
      </c>
      <c r="D328" s="1" t="n">
        <v>46044</v>
      </c>
      <c r="E328" s="1" t="n">
        <v>46283</v>
      </c>
      <c r="F328" t="inlineStr">
        <is>
          <t>VÄSTRA GÖTALANDS LÄN</t>
        </is>
      </c>
      <c r="G328" t="inlineStr">
        <is>
          <t>HERRLJUNGA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36679-2023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45153</v>
      </c>
      <c r="E329" s="1" t="n">
        <v>46283</v>
      </c>
      <c r="F329" t="inlineStr">
        <is>
          <t>VÄSTRA GÖTALANDS LÄN</t>
        </is>
      </c>
      <c r="G329" t="inlineStr">
        <is>
          <t>HERRLJUNGA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3634-2026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46043</v>
      </c>
      <c r="E330" s="1" t="n">
        <v>46283</v>
      </c>
      <c r="F330" t="inlineStr">
        <is>
          <t>VÄSTRA GÖTALANDS LÄN</t>
        </is>
      </c>
      <c r="G330" t="inlineStr">
        <is>
          <t>HERRLJUNGA</t>
        </is>
      </c>
      <c r="I330" t="n">
        <v>3.9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3938-2026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46043</v>
      </c>
      <c r="E331" s="1" t="n">
        <v>46283</v>
      </c>
      <c r="F331" t="inlineStr">
        <is>
          <t>VÄSTRA GÖTALANDS LÄN</t>
        </is>
      </c>
      <c r="G331" t="inlineStr">
        <is>
          <t>HERRLJUNGA</t>
        </is>
      </c>
      <c r="I331" t="n">
        <v>14.2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15192-2023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45016</v>
      </c>
      <c r="E332" s="1" t="n">
        <v>46283</v>
      </c>
      <c r="F332" t="inlineStr">
        <is>
          <t>VÄSTRA GÖTALANDS LÄN</t>
        </is>
      </c>
      <c r="G332" t="inlineStr">
        <is>
          <t>HERRLJUNGA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4637-2026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46048</v>
      </c>
      <c r="E333" s="1" t="n">
        <v>46283</v>
      </c>
      <c r="F333" t="inlineStr">
        <is>
          <t>VÄSTRA GÖTALANDS LÄN</t>
        </is>
      </c>
      <c r="G333" t="inlineStr">
        <is>
          <t>HERRLJUNGA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513-2022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44566</v>
      </c>
      <c r="E334" s="1" t="n">
        <v>46283</v>
      </c>
      <c r="F334" t="inlineStr">
        <is>
          <t>VÄSTRA GÖTALANDS LÄN</t>
        </is>
      </c>
      <c r="G334" t="inlineStr">
        <is>
          <t>HERRLJUNGA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19990-2024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45433</v>
      </c>
      <c r="E335" s="1" t="n">
        <v>46283</v>
      </c>
      <c r="F335" t="inlineStr">
        <is>
          <t>VÄSTRA GÖTALANDS LÄN</t>
        </is>
      </c>
      <c r="G335" t="inlineStr">
        <is>
          <t>HERRLJUNGA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9131-2023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44980</v>
      </c>
      <c r="E336" s="1" t="n">
        <v>46283</v>
      </c>
      <c r="F336" t="inlineStr">
        <is>
          <t>VÄSTRA GÖTALANDS LÄN</t>
        </is>
      </c>
      <c r="G336" t="inlineStr">
        <is>
          <t>HERRLJUNGA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2202-2023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44942</v>
      </c>
      <c r="E337" s="1" t="n">
        <v>46283</v>
      </c>
      <c r="F337" t="inlineStr">
        <is>
          <t>VÄSTRA GÖTALANDS LÄN</t>
        </is>
      </c>
      <c r="G337" t="inlineStr">
        <is>
          <t>HERRLJUNGA</t>
        </is>
      </c>
      <c r="I337" t="n">
        <v>4.4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30377-2024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45491</v>
      </c>
      <c r="E338" s="1" t="n">
        <v>46283</v>
      </c>
      <c r="F338" t="inlineStr">
        <is>
          <t>VÄSTRA GÖTALANDS LÄN</t>
        </is>
      </c>
      <c r="G338" t="inlineStr">
        <is>
          <t>HERRLJUNGA</t>
        </is>
      </c>
      <c r="I338" t="n">
        <v>2.5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25758-2022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44733</v>
      </c>
      <c r="E339" s="1" t="n">
        <v>46283</v>
      </c>
      <c r="F339" t="inlineStr">
        <is>
          <t>VÄSTRA GÖTALANDS LÄN</t>
        </is>
      </c>
      <c r="G339" t="inlineStr">
        <is>
          <t>HERRLJUNGA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34188-2023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45138</v>
      </c>
      <c r="E340" s="1" t="n">
        <v>46283</v>
      </c>
      <c r="F340" t="inlineStr">
        <is>
          <t>VÄSTRA GÖTALANDS LÄN</t>
        </is>
      </c>
      <c r="G340" t="inlineStr">
        <is>
          <t>HERRLJUNGA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8158-2026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46064</v>
      </c>
      <c r="E341" s="1" t="n">
        <v>46283</v>
      </c>
      <c r="F341" t="inlineStr">
        <is>
          <t>VÄSTRA GÖTALANDS LÄN</t>
        </is>
      </c>
      <c r="G341" t="inlineStr">
        <is>
          <t>HERRLJUNGA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8294-2026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46064</v>
      </c>
      <c r="E342" s="1" t="n">
        <v>46283</v>
      </c>
      <c r="F342" t="inlineStr">
        <is>
          <t>VÄSTRA GÖTALANDS LÄN</t>
        </is>
      </c>
      <c r="G342" t="inlineStr">
        <is>
          <t>HERRLJUNGA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12019-2024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45377</v>
      </c>
      <c r="E343" s="1" t="n">
        <v>46283</v>
      </c>
      <c r="F343" t="inlineStr">
        <is>
          <t>VÄSTRA GÖTALANDS LÄN</t>
        </is>
      </c>
      <c r="G343" t="inlineStr">
        <is>
          <t>HERRLJUNGA</t>
        </is>
      </c>
      <c r="I343" t="n">
        <v>3.4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25147-2023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45086</v>
      </c>
      <c r="E344" s="1" t="n">
        <v>46283</v>
      </c>
      <c r="F344" t="inlineStr">
        <is>
          <t>VÄSTRA GÖTALANDS LÄN</t>
        </is>
      </c>
      <c r="G344" t="inlineStr">
        <is>
          <t>HERRLJUNGA</t>
        </is>
      </c>
      <c r="I344" t="n">
        <v>5.3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1607-2024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45306</v>
      </c>
      <c r="E345" s="1" t="n">
        <v>46283</v>
      </c>
      <c r="F345" t="inlineStr">
        <is>
          <t>VÄSTRA GÖTALANDS LÄN</t>
        </is>
      </c>
      <c r="G345" t="inlineStr">
        <is>
          <t>HERRLJUNGA</t>
        </is>
      </c>
      <c r="I345" t="n">
        <v>1.4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62175-2023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45267</v>
      </c>
      <c r="E346" s="1" t="n">
        <v>46283</v>
      </c>
      <c r="F346" t="inlineStr">
        <is>
          <t>VÄSTRA GÖTALANDS LÄN</t>
        </is>
      </c>
      <c r="G346" t="inlineStr">
        <is>
          <t>HERRLJUNGA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62179-2023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45267</v>
      </c>
      <c r="E347" s="1" t="n">
        <v>46283</v>
      </c>
      <c r="F347" t="inlineStr">
        <is>
          <t>VÄSTRA GÖTALANDS LÄN</t>
        </is>
      </c>
      <c r="G347" t="inlineStr">
        <is>
          <t>HERRLJUNGA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2853-2024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45315</v>
      </c>
      <c r="E348" s="1" t="n">
        <v>46283</v>
      </c>
      <c r="F348" t="inlineStr">
        <is>
          <t>VÄSTRA GÖTALANDS LÄN</t>
        </is>
      </c>
      <c r="G348" t="inlineStr">
        <is>
          <t>HERRLJUNGA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11979-2025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45728</v>
      </c>
      <c r="E349" s="1" t="n">
        <v>46283</v>
      </c>
      <c r="F349" t="inlineStr">
        <is>
          <t>VÄSTRA GÖTALANDS LÄN</t>
        </is>
      </c>
      <c r="G349" t="inlineStr">
        <is>
          <t>HERRLJUNGA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1604-2024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45306</v>
      </c>
      <c r="E350" s="1" t="n">
        <v>46283</v>
      </c>
      <c r="F350" t="inlineStr">
        <is>
          <t>VÄSTRA GÖTALANDS LÄN</t>
        </is>
      </c>
      <c r="G350" t="inlineStr">
        <is>
          <t>HERRLJUNGA</t>
        </is>
      </c>
      <c r="I350" t="n">
        <v>0.4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56500-2022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44893</v>
      </c>
      <c r="E351" s="1" t="n">
        <v>46283</v>
      </c>
      <c r="F351" t="inlineStr">
        <is>
          <t>VÄSTRA GÖTALANDS LÄN</t>
        </is>
      </c>
      <c r="G351" t="inlineStr">
        <is>
          <t>HERRLJUNGA</t>
        </is>
      </c>
      <c r="I351" t="n">
        <v>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8166-2025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45708</v>
      </c>
      <c r="E352" s="1" t="n">
        <v>46283</v>
      </c>
      <c r="F352" t="inlineStr">
        <is>
          <t>VÄSTRA GÖTALANDS LÄN</t>
        </is>
      </c>
      <c r="G352" t="inlineStr">
        <is>
          <t>HERRLJUNGA</t>
        </is>
      </c>
      <c r="I352" t="n">
        <v>3.6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37746-2023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45159</v>
      </c>
      <c r="E353" s="1" t="n">
        <v>46283</v>
      </c>
      <c r="F353" t="inlineStr">
        <is>
          <t>VÄSTRA GÖTALANDS LÄN</t>
        </is>
      </c>
      <c r="G353" t="inlineStr">
        <is>
          <t>HERRLJUNGA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3102-2025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45678</v>
      </c>
      <c r="E354" s="1" t="n">
        <v>46283</v>
      </c>
      <c r="F354" t="inlineStr">
        <is>
          <t>VÄSTRA GÖTALANDS LÄN</t>
        </is>
      </c>
      <c r="G354" t="inlineStr">
        <is>
          <t>HERRLJUNGA</t>
        </is>
      </c>
      <c r="I354" t="n">
        <v>6.2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47576-2024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45587</v>
      </c>
      <c r="E355" s="1" t="n">
        <v>46283</v>
      </c>
      <c r="F355" t="inlineStr">
        <is>
          <t>VÄSTRA GÖTALANDS LÄN</t>
        </is>
      </c>
      <c r="G355" t="inlineStr">
        <is>
          <t>HERRLJUNGA</t>
        </is>
      </c>
      <c r="H355" t="inlineStr">
        <is>
          <t>Kyrkan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59756-2024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45639</v>
      </c>
      <c r="E356" s="1" t="n">
        <v>46283</v>
      </c>
      <c r="F356" t="inlineStr">
        <is>
          <t>VÄSTRA GÖTALANDS LÄN</t>
        </is>
      </c>
      <c r="G356" t="inlineStr">
        <is>
          <t>HERRLJUNGA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49606-2023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45211</v>
      </c>
      <c r="E357" s="1" t="n">
        <v>46283</v>
      </c>
      <c r="F357" t="inlineStr">
        <is>
          <t>VÄSTRA GÖTALANDS LÄN</t>
        </is>
      </c>
      <c r="G357" t="inlineStr">
        <is>
          <t>HERRLJUNGA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3773-2024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45321</v>
      </c>
      <c r="E358" s="1" t="n">
        <v>46283</v>
      </c>
      <c r="F358" t="inlineStr">
        <is>
          <t>VÄSTRA GÖTALANDS LÄN</t>
        </is>
      </c>
      <c r="G358" t="inlineStr">
        <is>
          <t>HERRLJUNGA</t>
        </is>
      </c>
      <c r="I358" t="n">
        <v>3.6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49743-2023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45212</v>
      </c>
      <c r="E359" s="1" t="n">
        <v>46283</v>
      </c>
      <c r="F359" t="inlineStr">
        <is>
          <t>VÄSTRA GÖTALANDS LÄN</t>
        </is>
      </c>
      <c r="G359" t="inlineStr">
        <is>
          <t>HERRLJUNGA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54919-2024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45618</v>
      </c>
      <c r="E360" s="1" t="n">
        <v>46283</v>
      </c>
      <c r="F360" t="inlineStr">
        <is>
          <t>VÄSTRA GÖTALANDS LÄN</t>
        </is>
      </c>
      <c r="G360" t="inlineStr">
        <is>
          <t>HERRLJUNGA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11724-2024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45373</v>
      </c>
      <c r="E361" s="1" t="n">
        <v>46283</v>
      </c>
      <c r="F361" t="inlineStr">
        <is>
          <t>VÄSTRA GÖTALANDS LÄN</t>
        </is>
      </c>
      <c r="G361" t="inlineStr">
        <is>
          <t>HERRLJUNGA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4519-2024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45327</v>
      </c>
      <c r="E362" s="1" t="n">
        <v>46283</v>
      </c>
      <c r="F362" t="inlineStr">
        <is>
          <t>VÄSTRA GÖTALANDS LÄN</t>
        </is>
      </c>
      <c r="G362" t="inlineStr">
        <is>
          <t>HERRLJUNGA</t>
        </is>
      </c>
      <c r="I362" t="n">
        <v>7.7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24494-2023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45082</v>
      </c>
      <c r="E363" s="1" t="n">
        <v>46283</v>
      </c>
      <c r="F363" t="inlineStr">
        <is>
          <t>VÄSTRA GÖTALANDS LÄN</t>
        </is>
      </c>
      <c r="G363" t="inlineStr">
        <is>
          <t>HERRLJUNGA</t>
        </is>
      </c>
      <c r="H363" t="inlineStr">
        <is>
          <t>Sveaskog</t>
        </is>
      </c>
      <c r="I363" t="n">
        <v>6.8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60583-2022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44904</v>
      </c>
      <c r="E364" s="1" t="n">
        <v>46283</v>
      </c>
      <c r="F364" t="inlineStr">
        <is>
          <t>VÄSTRA GÖTALANDS LÄN</t>
        </is>
      </c>
      <c r="G364" t="inlineStr">
        <is>
          <t>HERRLJUNGA</t>
        </is>
      </c>
      <c r="H364" t="inlineStr">
        <is>
          <t>Övriga statliga verk och myndigheter</t>
        </is>
      </c>
      <c r="I364" t="n">
        <v>9.800000000000001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60476-2024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45643</v>
      </c>
      <c r="E365" s="1" t="n">
        <v>46283</v>
      </c>
      <c r="F365" t="inlineStr">
        <is>
          <t>VÄSTRA GÖTALANDS LÄN</t>
        </is>
      </c>
      <c r="G365" t="inlineStr">
        <is>
          <t>HERRLJUNGA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40617-2024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45557</v>
      </c>
      <c r="E366" s="1" t="n">
        <v>46283</v>
      </c>
      <c r="F366" t="inlineStr">
        <is>
          <t>VÄSTRA GÖTALANDS LÄN</t>
        </is>
      </c>
      <c r="G366" t="inlineStr">
        <is>
          <t>HERRLJUNGA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17955-2025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45760</v>
      </c>
      <c r="E367" s="1" t="n">
        <v>46283</v>
      </c>
      <c r="F367" t="inlineStr">
        <is>
          <t>VÄSTRA GÖTALANDS LÄN</t>
        </is>
      </c>
      <c r="G367" t="inlineStr">
        <is>
          <t>HERRLJUNGA</t>
        </is>
      </c>
      <c r="I367" t="n">
        <v>1.3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15247-2024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45400</v>
      </c>
      <c r="E368" s="1" t="n">
        <v>46283</v>
      </c>
      <c r="F368" t="inlineStr">
        <is>
          <t>VÄSTRA GÖTALANDS LÄN</t>
        </is>
      </c>
      <c r="G368" t="inlineStr">
        <is>
          <t>HERRLJUNGA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63445-2023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45274</v>
      </c>
      <c r="E369" s="1" t="n">
        <v>46283</v>
      </c>
      <c r="F369" t="inlineStr">
        <is>
          <t>VÄSTRA GÖTALANDS LÄN</t>
        </is>
      </c>
      <c r="G369" t="inlineStr">
        <is>
          <t>HERRLJUNGA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25505-2025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45803</v>
      </c>
      <c r="E370" s="1" t="n">
        <v>46283</v>
      </c>
      <c r="F370" t="inlineStr">
        <is>
          <t>VÄSTRA GÖTALANDS LÄN</t>
        </is>
      </c>
      <c r="G370" t="inlineStr">
        <is>
          <t>HERRLJUNGA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25507-2025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45803</v>
      </c>
      <c r="E371" s="1" t="n">
        <v>46283</v>
      </c>
      <c r="F371" t="inlineStr">
        <is>
          <t>VÄSTRA GÖTALANDS LÄN</t>
        </is>
      </c>
      <c r="G371" t="inlineStr">
        <is>
          <t>HERRLJUNGA</t>
        </is>
      </c>
      <c r="I371" t="n">
        <v>2.2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25509-2025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45803</v>
      </c>
      <c r="E372" s="1" t="n">
        <v>46283</v>
      </c>
      <c r="F372" t="inlineStr">
        <is>
          <t>VÄSTRA GÖTALANDS LÄN</t>
        </is>
      </c>
      <c r="G372" t="inlineStr">
        <is>
          <t>HERRLJUNGA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26177-2025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45805</v>
      </c>
      <c r="E373" s="1" t="n">
        <v>46283</v>
      </c>
      <c r="F373" t="inlineStr">
        <is>
          <t>VÄSTRA GÖTALANDS LÄN</t>
        </is>
      </c>
      <c r="G373" t="inlineStr">
        <is>
          <t>HERRLJUNGA</t>
        </is>
      </c>
      <c r="I373" t="n">
        <v>1.6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26828-2025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45810</v>
      </c>
      <c r="E374" s="1" t="n">
        <v>46283</v>
      </c>
      <c r="F374" t="inlineStr">
        <is>
          <t>VÄSTRA GÖTALANDS LÄN</t>
        </is>
      </c>
      <c r="G374" t="inlineStr">
        <is>
          <t>HERRLJUNGA</t>
        </is>
      </c>
      <c r="I374" t="n">
        <v>0.3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38985-2024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45548</v>
      </c>
      <c r="E375" s="1" t="n">
        <v>46283</v>
      </c>
      <c r="F375" t="inlineStr">
        <is>
          <t>VÄSTRA GÖTALANDS LÄN</t>
        </is>
      </c>
      <c r="G375" t="inlineStr">
        <is>
          <t>HERRLJUNGA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32131-2024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45511</v>
      </c>
      <c r="E376" s="1" t="n">
        <v>46283</v>
      </c>
      <c r="F376" t="inlineStr">
        <is>
          <t>VÄSTRA GÖTALANDS LÄN</t>
        </is>
      </c>
      <c r="G376" t="inlineStr">
        <is>
          <t>HERRLJUNGA</t>
        </is>
      </c>
      <c r="I376" t="n">
        <v>1.5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26895-2025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45811</v>
      </c>
      <c r="E377" s="1" t="n">
        <v>46283</v>
      </c>
      <c r="F377" t="inlineStr">
        <is>
          <t>VÄSTRA GÖTALANDS LÄN</t>
        </is>
      </c>
      <c r="G377" t="inlineStr">
        <is>
          <t>HERRLJUNGA</t>
        </is>
      </c>
      <c r="I377" t="n">
        <v>3.6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7332-2024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45345</v>
      </c>
      <c r="E378" s="1" t="n">
        <v>46283</v>
      </c>
      <c r="F378" t="inlineStr">
        <is>
          <t>VÄSTRA GÖTALANDS LÄN</t>
        </is>
      </c>
      <c r="G378" t="inlineStr">
        <is>
          <t>HERRLJUNGA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62189-2023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45267</v>
      </c>
      <c r="E379" s="1" t="n">
        <v>46283</v>
      </c>
      <c r="F379" t="inlineStr">
        <is>
          <t>VÄSTRA GÖTALANDS LÄN</t>
        </is>
      </c>
      <c r="G379" t="inlineStr">
        <is>
          <t>HERRLJUNGA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S 1327-2022</t>
        </is>
      </c>
      <c r="B380" t="inlineStr">
        <is>
          <t>samrådsanmälan</t>
        </is>
      </c>
      <c r="C380" t="inlineStr">
        <is>
          <t>Askåterföring</t>
        </is>
      </c>
      <c r="D380" s="1" t="n">
        <v>44628</v>
      </c>
      <c r="E380" s="1" t="n">
        <v>46283</v>
      </c>
      <c r="F380" t="inlineStr">
        <is>
          <t>VÄSTRA GÖTALANDS LÄN</t>
        </is>
      </c>
      <c r="G380" t="inlineStr">
        <is>
          <t>HERRLJUNGA</t>
        </is>
      </c>
      <c r="H380" t="inlineStr">
        <is>
          <t>Kyrkan</t>
        </is>
      </c>
      <c r="I380" t="n">
        <v>45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S 1326-2022</t>
        </is>
      </c>
      <c r="B381" t="inlineStr">
        <is>
          <t>samrådsanmälan</t>
        </is>
      </c>
      <c r="C381" t="inlineStr">
        <is>
          <t>Askåterföring</t>
        </is>
      </c>
      <c r="D381" s="1" t="n">
        <v>44628</v>
      </c>
      <c r="E381" s="1" t="n">
        <v>46283</v>
      </c>
      <c r="F381" t="inlineStr">
        <is>
          <t>VÄSTRA GÖTALANDS LÄN</t>
        </is>
      </c>
      <c r="G381" t="inlineStr">
        <is>
          <t>HERRLJUNGA</t>
        </is>
      </c>
      <c r="H381" t="inlineStr">
        <is>
          <t>Kyrkan</t>
        </is>
      </c>
      <c r="I381" t="n">
        <v>19.7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S 789-2024</t>
        </is>
      </c>
      <c r="B382" t="inlineStr">
        <is>
          <t>samrådsanmälan</t>
        </is>
      </c>
      <c r="C382" t="inlineStr">
        <is>
          <t>Askåterföring</t>
        </is>
      </c>
      <c r="D382" s="1" t="n">
        <v>45369</v>
      </c>
      <c r="E382" s="1" t="n">
        <v>46283</v>
      </c>
      <c r="F382" t="inlineStr">
        <is>
          <t>VÄSTRA GÖTALANDS LÄN</t>
        </is>
      </c>
      <c r="G382" t="inlineStr">
        <is>
          <t>HERRLJUNGA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1012-2024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45386</v>
      </c>
      <c r="E383" s="1" t="n">
        <v>46283</v>
      </c>
      <c r="F383" t="inlineStr">
        <is>
          <t>VÄSTRA GÖTALANDS LÄN</t>
        </is>
      </c>
      <c r="G383" t="inlineStr">
        <is>
          <t>HERRLJUNGA</t>
        </is>
      </c>
      <c r="I383" t="n">
        <v>3.5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1676-2024</t>
        </is>
      </c>
      <c r="B384" t="inlineStr">
        <is>
          <t>samrådsanmälan</t>
        </is>
      </c>
      <c r="C384" t="inlineStr">
        <is>
          <t>Annan skogsbruksåtgärd</t>
        </is>
      </c>
      <c r="D384" s="1" t="n">
        <v>45432</v>
      </c>
      <c r="E384" s="1" t="n">
        <v>46283</v>
      </c>
      <c r="F384" t="inlineStr">
        <is>
          <t>VÄSTRA GÖTALANDS LÄN</t>
        </is>
      </c>
      <c r="G384" t="inlineStr">
        <is>
          <t>HERRLJUNGA</t>
        </is>
      </c>
      <c r="I384" t="n">
        <v>0.2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3353-2024</t>
        </is>
      </c>
      <c r="B385" t="inlineStr">
        <is>
          <t>samrådsanmälan</t>
        </is>
      </c>
      <c r="C385" t="inlineStr">
        <is>
          <t>Annan skogsbruksåtgärd</t>
        </is>
      </c>
      <c r="D385" s="1" t="n">
        <v>45531</v>
      </c>
      <c r="E385" s="1" t="n">
        <v>46283</v>
      </c>
      <c r="F385" t="inlineStr">
        <is>
          <t>VÄSTRA GÖTALANDS LÄN</t>
        </is>
      </c>
      <c r="G385" t="inlineStr">
        <is>
          <t>HERRLJUNGA</t>
        </is>
      </c>
      <c r="I385" t="n">
        <v>12.2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814-2024</t>
        </is>
      </c>
      <c r="B386" t="inlineStr">
        <is>
          <t>samrådsanmälan</t>
        </is>
      </c>
      <c r="C386" t="inlineStr">
        <is>
          <t>Askåterföring</t>
        </is>
      </c>
      <c r="D386" s="1" t="n">
        <v>45371</v>
      </c>
      <c r="E386" s="1" t="n">
        <v>46283</v>
      </c>
      <c r="F386" t="inlineStr">
        <is>
          <t>VÄSTRA GÖTALANDS LÄN</t>
        </is>
      </c>
      <c r="G386" t="inlineStr">
        <is>
          <t>HERRLJUNGA</t>
        </is>
      </c>
      <c r="I386" t="n">
        <v>12.8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4370-2024</t>
        </is>
      </c>
      <c r="B387" t="inlineStr">
        <is>
          <t>samrådsanmälan</t>
        </is>
      </c>
      <c r="C387" t="inlineStr">
        <is>
          <t>Annan skogsbruksåtgärd</t>
        </is>
      </c>
      <c r="D387" s="1" t="n">
        <v>45587</v>
      </c>
      <c r="E387" s="1" t="n">
        <v>46283</v>
      </c>
      <c r="F387" t="inlineStr">
        <is>
          <t>VÄSTRA GÖTALANDS LÄN</t>
        </is>
      </c>
      <c r="G387" t="inlineStr">
        <is>
          <t>HERRLJUNGA</t>
        </is>
      </c>
      <c r="I387" t="n">
        <v>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1013-2024</t>
        </is>
      </c>
      <c r="B388" t="inlineStr">
        <is>
          <t>samrådsanmälan</t>
        </is>
      </c>
      <c r="C388" t="inlineStr">
        <is>
          <t>Askåterföring</t>
        </is>
      </c>
      <c r="D388" s="1" t="n">
        <v>45386</v>
      </c>
      <c r="E388" s="1" t="n">
        <v>46283</v>
      </c>
      <c r="F388" t="inlineStr">
        <is>
          <t>VÄSTRA GÖTALANDS LÄN</t>
        </is>
      </c>
      <c r="G388" t="inlineStr">
        <is>
          <t>HERRLJUNGA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867-2023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44994</v>
      </c>
      <c r="E389" s="1" t="n">
        <v>46283</v>
      </c>
      <c r="F389" t="inlineStr">
        <is>
          <t>VÄSTRA GÖTALANDS LÄN</t>
        </is>
      </c>
      <c r="G389" t="inlineStr">
        <is>
          <t>HERRLJUNGA</t>
        </is>
      </c>
      <c r="H389" t="inlineStr">
        <is>
          <t>Kyrkan</t>
        </is>
      </c>
      <c r="I389" t="n">
        <v>15.5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2358-2025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45888</v>
      </c>
      <c r="E390" s="1" t="n">
        <v>46283</v>
      </c>
      <c r="F390" t="inlineStr">
        <is>
          <t>VÄSTRA GÖTALANDS LÄN</t>
        </is>
      </c>
      <c r="G390" t="inlineStr">
        <is>
          <t>HERRLJUNGA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4381-2023</t>
        </is>
      </c>
      <c r="B391" t="inlineStr">
        <is>
          <t>samrådsanmälan</t>
        </is>
      </c>
      <c r="C391" t="inlineStr">
        <is>
          <t>Annan skogsbruksåtgärd</t>
        </is>
      </c>
      <c r="D391" s="1" t="n">
        <v>45266</v>
      </c>
      <c r="E391" s="1" t="n">
        <v>46283</v>
      </c>
      <c r="F391" t="inlineStr">
        <is>
          <t>VÄSTRA GÖTALANDS LÄN</t>
        </is>
      </c>
      <c r="G391" t="inlineStr">
        <is>
          <t>HERRLJUNGA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434-2026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46070</v>
      </c>
      <c r="E392" s="1" t="n">
        <v>46283</v>
      </c>
      <c r="F392" t="inlineStr">
        <is>
          <t>VÄSTRA GÖTALANDS LÄN</t>
        </is>
      </c>
      <c r="G392" t="inlineStr">
        <is>
          <t>HERRLJUNGA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739-2026</t>
        </is>
      </c>
      <c r="B393" t="inlineStr">
        <is>
          <t>samrådsanmälan</t>
        </is>
      </c>
      <c r="C393" t="inlineStr">
        <is>
          <t>Askåterföring</t>
        </is>
      </c>
      <c r="D393" s="1" t="n">
        <v>46094</v>
      </c>
      <c r="E393" s="1" t="n">
        <v>46283</v>
      </c>
      <c r="F393" t="inlineStr">
        <is>
          <t>VÄSTRA GÖTALANDS LÄN</t>
        </is>
      </c>
      <c r="G393" t="inlineStr">
        <is>
          <t>HERRLJUNGA</t>
        </is>
      </c>
      <c r="H393" t="inlineStr">
        <is>
          <t>Kyrkan</t>
        </is>
      </c>
      <c r="I393" t="n">
        <v>29.7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>
      <c r="A394" t="inlineStr">
        <is>
          <t>S 756-2026</t>
        </is>
      </c>
      <c r="B394" t="inlineStr">
        <is>
          <t>samrådsanmälan</t>
        </is>
      </c>
      <c r="C394" t="inlineStr">
        <is>
          <t>Annan skogsbruksåtgärd</t>
        </is>
      </c>
      <c r="D394" s="1" t="n">
        <v>46097</v>
      </c>
      <c r="E394" s="1" t="n">
        <v>46283</v>
      </c>
      <c r="F394" t="inlineStr">
        <is>
          <t>VÄSTRA GÖTALANDS LÄN</t>
        </is>
      </c>
      <c r="G394" t="inlineStr">
        <is>
          <t>HERRLJUNGA</t>
        </is>
      </c>
      <c r="I394" t="n">
        <v>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2026-09-18T02:01:53Z</dcterms:created>
  <dcterms:modified xmlns:dcterms="http://purl.org/dc/terms/" xmlns:xsi="http://www.w3.org/2001/XMLSchema-instance" xsi:type="dcterms:W3CDTF">2026-09-18T02:01:53Z</dcterms:modified>
</cp:coreProperties>
</file>