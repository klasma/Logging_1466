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46312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8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8</v>
      </c>
      <c r="U2" t="n">
        <v>8</v>
      </c>
      <c r="V2" s="2" t="inlineStr">
        <is>
          <t>Stare
Bivråk
Gulsparv
Sädesärla
Buskskvätta
Grönsiska
Svartvit flugsnappare
Nattviol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46312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46312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46312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46312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58703-2022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46312</v>
      </c>
      <c r="F7" t="inlineStr">
        <is>
          <t>VÄSTRA GÖTALANDS LÄN</t>
        </is>
      </c>
      <c r="G7" t="inlineStr">
        <is>
          <t>HERRLJUNGA</t>
        </is>
      </c>
      <c r="I7" t="n">
        <v>5.2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HYPERLINK("https://klasma.github.io/Logging_1466/artfynd/A 58703-2022 artfynd.xlsx", "A 58703-2022")</f>
        <v/>
      </c>
      <c r="X7">
        <f>HYPERLINK("https://klasma.github.io/Logging_1466/kartor/A 58703-2022 karta.png", "A 58703-2022")</f>
        <v/>
      </c>
      <c r="Y7">
        <f>HYPERLINK("https://klasma.github.io/Logging_1466/kartor_geotiff/A 58703-2022 georefererad karta.tif", "A 58703-2022")</f>
        <v/>
      </c>
      <c r="AA7">
        <f>HYPERLINK("https://klasma.github.io/Logging_1466/klagomål/A 58703-2022 FSC-klagomål.docx", "A 58703-2022")</f>
        <v/>
      </c>
      <c r="AB7">
        <f>HYPERLINK("https://klasma.github.io/Logging_1466/klagomålsmail/A 58703-2022 FSC-klagomål mail.docx", "A 58703-2022")</f>
        <v/>
      </c>
      <c r="AC7">
        <f>HYPERLINK("https://klasma.github.io/Logging_1466/tillsyn/A 58703-2022 tillsynsbegäran.docx", "A 58703-2022")</f>
        <v/>
      </c>
      <c r="AD7">
        <f>HYPERLINK("https://klasma.github.io/Logging_1466/tillsynsmail/A 58703-2022 tillsynsbegäran mail.docx", "A 58703-2022")</f>
        <v/>
      </c>
    </row>
    <row r="8" ht="15" customHeight="1">
      <c r="A8" t="inlineStr">
        <is>
          <t>A 14138-2026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46312</v>
      </c>
      <c r="F8" t="inlineStr">
        <is>
          <t>VÄSTRA GÖTALANDS LÄN</t>
        </is>
      </c>
      <c r="G8" t="inlineStr">
        <is>
          <t>HERRLJUNGA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Rödvingetrast</t>
        </is>
      </c>
      <c r="W8">
        <f>HYPERLINK("https://klasma.github.io/Logging_1466/artfynd/A 14138-2026 artfynd.xlsx", "A 14138-2026")</f>
        <v/>
      </c>
      <c r="X8">
        <f>HYPERLINK("https://klasma.github.io/Logging_1466/kartor/A 14138-2026 karta.png", "A 14138-2026")</f>
        <v/>
      </c>
      <c r="Y8">
        <f>HYPERLINK("https://klasma.github.io/Logging_1466/kartor_geotiff/A 14138-2026 georefererad karta.tif", "A 14138-2026")</f>
        <v/>
      </c>
      <c r="AA8">
        <f>HYPERLINK("https://klasma.github.io/Logging_1466/klagomål/A 14138-2026 FSC-klagomål.docx", "A 14138-2026")</f>
        <v/>
      </c>
      <c r="AB8">
        <f>HYPERLINK("https://klasma.github.io/Logging_1466/klagomålsmail/A 14138-2026 FSC-klagomål mail.docx", "A 14138-2026")</f>
        <v/>
      </c>
      <c r="AC8">
        <f>HYPERLINK("https://klasma.github.io/Logging_1466/tillsyn/A 14138-2026 tillsynsbegäran.docx", "A 14138-2026")</f>
        <v/>
      </c>
      <c r="AD8">
        <f>HYPERLINK("https://klasma.github.io/Logging_1466/tillsynsmail/A 14138-2026 tillsynsbegäran mail.docx", "A 14138-2026")</f>
        <v/>
      </c>
      <c r="AE8">
        <f>HYPERLINK("https://klasma.github.io/Logging_1466/fåglar/A 14138-2026 prioriterade fågelarter.docx", "A 14138-2026")</f>
        <v/>
      </c>
    </row>
    <row r="9" ht="15" customHeight="1">
      <c r="A9" t="inlineStr">
        <is>
          <t>A 23101-2022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44719</v>
      </c>
      <c r="E9" s="1" t="n">
        <v>46312</v>
      </c>
      <c r="F9" t="inlineStr">
        <is>
          <t>VÄSTRA GÖTALANDS LÄN</t>
        </is>
      </c>
      <c r="G9" t="inlineStr">
        <is>
          <t>HERRLJUNGA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23101-2022 artfynd.xlsx", "A 23101-2022")</f>
        <v/>
      </c>
      <c r="X9">
        <f>HYPERLINK("https://klasma.github.io/Logging_1466/kartor/A 23101-2022 karta.png", "A 23101-2022")</f>
        <v/>
      </c>
      <c r="Y9">
        <f>HYPERLINK("https://klasma.github.io/Logging_1466/kartor_geotiff/A 23101-2022 georefererad karta.tif", "A 23101-2022")</f>
        <v/>
      </c>
      <c r="AA9">
        <f>HYPERLINK("https://klasma.github.io/Logging_1466/klagomål/A 23101-2022 FSC-klagomål.docx", "A 23101-2022")</f>
        <v/>
      </c>
      <c r="AB9">
        <f>HYPERLINK("https://klasma.github.io/Logging_1466/klagomålsmail/A 23101-2022 FSC-klagomål mail.docx", "A 23101-2022")</f>
        <v/>
      </c>
      <c r="AC9">
        <f>HYPERLINK("https://klasma.github.io/Logging_1466/tillsyn/A 23101-2022 tillsynsbegäran.docx", "A 23101-2022")</f>
        <v/>
      </c>
      <c r="AD9">
        <f>HYPERLINK("https://klasma.github.io/Logging_1466/tillsynsmail/A 23101-2022 tillsynsbegäran mail.docx", "A 23101-2022")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46312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46312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46312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46312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46312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46312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46312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70103-2021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44533</v>
      </c>
      <c r="E17" s="1" t="n">
        <v>46312</v>
      </c>
      <c r="F17" t="inlineStr">
        <is>
          <t>VÄSTRA GÖTALANDS LÄN</t>
        </is>
      </c>
      <c r="G17" t="inlineStr">
        <is>
          <t>HERRLJUNGA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60406-2021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44496</v>
      </c>
      <c r="E18" s="1" t="n">
        <v>46312</v>
      </c>
      <c r="F18" t="inlineStr">
        <is>
          <t>VÄSTRA GÖTALANDS LÄN</t>
        </is>
      </c>
      <c r="G18" t="inlineStr">
        <is>
          <t>HERRLJUNGA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46312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46312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46312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46312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46312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46312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46312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46312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46312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46312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46312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46312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46312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46312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46312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46312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46454-2022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46312</v>
      </c>
      <c r="F35" t="inlineStr">
        <is>
          <t>VÄSTRA GÖTALANDS LÄN</t>
        </is>
      </c>
      <c r="G35" t="inlineStr">
        <is>
          <t>HERRLJUNGA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46312</v>
      </c>
      <c r="F36" t="inlineStr">
        <is>
          <t>VÄSTRA GÖTALANDS LÄN</t>
        </is>
      </c>
      <c r="G36" t="inlineStr">
        <is>
          <t>HERRLJUNGA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24494-2023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45082</v>
      </c>
      <c r="E37" s="1" t="n">
        <v>46312</v>
      </c>
      <c r="F37" t="inlineStr">
        <is>
          <t>VÄSTRA GÖTALANDS LÄN</t>
        </is>
      </c>
      <c r="G37" t="inlineStr">
        <is>
          <t>HERRLJUNGA</t>
        </is>
      </c>
      <c r="H37" t="inlineStr">
        <is>
          <t>Sveaskog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57959-2022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44900</v>
      </c>
      <c r="E38" s="1" t="n">
        <v>46312</v>
      </c>
      <c r="F38" t="inlineStr">
        <is>
          <t>VÄSTRA GÖTALANDS LÄN</t>
        </is>
      </c>
      <c r="G38" t="inlineStr">
        <is>
          <t>HERRLJUNGA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57961-2022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44900</v>
      </c>
      <c r="E39" s="1" t="n">
        <v>46312</v>
      </c>
      <c r="F39" t="inlineStr">
        <is>
          <t>VÄSTRA GÖTALANDS LÄN</t>
        </is>
      </c>
      <c r="G39" t="inlineStr">
        <is>
          <t>HERRLJUNGA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67552-2021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44524</v>
      </c>
      <c r="E40" s="1" t="n">
        <v>46312</v>
      </c>
      <c r="F40" t="inlineStr">
        <is>
          <t>VÄSTRA GÖTALANDS LÄN</t>
        </is>
      </c>
      <c r="G40" t="inlineStr">
        <is>
          <t>HERRLJUNGA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46312</v>
      </c>
      <c r="F41" t="inlineStr">
        <is>
          <t>VÄSTRA GÖTALANDS LÄN</t>
        </is>
      </c>
      <c r="G41" t="inlineStr">
        <is>
          <t>HERRLJUNGA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45265</v>
      </c>
      <c r="E42" s="1" t="n">
        <v>46312</v>
      </c>
      <c r="F42" t="inlineStr">
        <is>
          <t>VÄSTRA GÖTALANDS LÄN</t>
        </is>
      </c>
      <c r="G42" t="inlineStr">
        <is>
          <t>HERRLJUNGA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45172</v>
      </c>
      <c r="E43" s="1" t="n">
        <v>46312</v>
      </c>
      <c r="F43" t="inlineStr">
        <is>
          <t>VÄSTRA GÖTALANDS LÄN</t>
        </is>
      </c>
      <c r="G43" t="inlineStr">
        <is>
          <t>HERRLJUNGA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45517</v>
      </c>
      <c r="E44" s="1" t="n">
        <v>46312</v>
      </c>
      <c r="F44" t="inlineStr">
        <is>
          <t>VÄSTRA GÖTALANDS LÄN</t>
        </is>
      </c>
      <c r="G44" t="inlineStr">
        <is>
          <t>HERRLJUNGA</t>
        </is>
      </c>
      <c r="H44" t="inlineStr">
        <is>
          <t>Kyrkan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46312</v>
      </c>
      <c r="F45" t="inlineStr">
        <is>
          <t>VÄSTRA GÖTALANDS LÄN</t>
        </is>
      </c>
      <c r="G45" t="inlineStr">
        <is>
          <t>HERRLJUNGA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59756-2024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45639</v>
      </c>
      <c r="E46" s="1" t="n">
        <v>46312</v>
      </c>
      <c r="F46" t="inlineStr">
        <is>
          <t>VÄSTRA GÖTALANDS LÄN</t>
        </is>
      </c>
      <c r="G46" t="inlineStr">
        <is>
          <t>HERRLJUNGA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46312</v>
      </c>
      <c r="F47" t="inlineStr">
        <is>
          <t>VÄSTRA GÖTALANDS LÄN</t>
        </is>
      </c>
      <c r="G47" t="inlineStr">
        <is>
          <t>HERRLJUNGA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46312</v>
      </c>
      <c r="F48" t="inlineStr">
        <is>
          <t>VÄSTRA GÖTALANDS LÄN</t>
        </is>
      </c>
      <c r="G48" t="inlineStr">
        <is>
          <t>HERRLJUNGA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44566</v>
      </c>
      <c r="E49" s="1" t="n">
        <v>46312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19665-2025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45770</v>
      </c>
      <c r="E50" s="1" t="n">
        <v>46312</v>
      </c>
      <c r="F50" t="inlineStr">
        <is>
          <t>VÄSTRA GÖTALANDS LÄN</t>
        </is>
      </c>
      <c r="G50" t="inlineStr">
        <is>
          <t>HERRLJUNGA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45557</v>
      </c>
      <c r="E51" s="1" t="n">
        <v>46312</v>
      </c>
      <c r="F51" t="inlineStr">
        <is>
          <t>VÄSTRA GÖTALANDS LÄN</t>
        </is>
      </c>
      <c r="G51" t="inlineStr">
        <is>
          <t>HERRLJUNGA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10297-2024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45365</v>
      </c>
      <c r="E52" s="1" t="n">
        <v>46312</v>
      </c>
      <c r="F52" t="inlineStr">
        <is>
          <t>VÄSTRA GÖTALANDS LÄN</t>
        </is>
      </c>
      <c r="G52" t="inlineStr">
        <is>
          <t>HERRLJUNGA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46312</v>
      </c>
      <c r="F53" t="inlineStr">
        <is>
          <t>VÄSTRA GÖTALANDS LÄN</t>
        </is>
      </c>
      <c r="G53" t="inlineStr">
        <is>
          <t>HERRLJUNGA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44854</v>
      </c>
      <c r="E54" s="1" t="n">
        <v>46312</v>
      </c>
      <c r="F54" t="inlineStr">
        <is>
          <t>VÄSTRA GÖTALANDS LÄN</t>
        </is>
      </c>
      <c r="G54" t="inlineStr">
        <is>
          <t>HERRLJUNGA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64977-2023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45285</v>
      </c>
      <c r="E55" s="1" t="n">
        <v>46312</v>
      </c>
      <c r="F55" t="inlineStr">
        <is>
          <t>VÄSTRA GÖTALANDS LÄN</t>
        </is>
      </c>
      <c r="G55" t="inlineStr">
        <is>
          <t>HERRLJUNGA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45051</v>
      </c>
      <c r="E56" s="1" t="n">
        <v>46312</v>
      </c>
      <c r="F56" t="inlineStr">
        <is>
          <t>VÄSTRA GÖTALANDS LÄN</t>
        </is>
      </c>
      <c r="G56" t="inlineStr">
        <is>
          <t>HERRLJUNGA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44593</v>
      </c>
      <c r="E57" s="1" t="n">
        <v>46312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46312</v>
      </c>
      <c r="F58" t="inlineStr">
        <is>
          <t>VÄSTRA GÖTALANDS LÄN</t>
        </is>
      </c>
      <c r="G58" t="inlineStr">
        <is>
          <t>HERRLJUNGA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45335</v>
      </c>
      <c r="E59" s="1" t="n">
        <v>46312</v>
      </c>
      <c r="F59" t="inlineStr">
        <is>
          <t>VÄSTRA GÖTALANDS LÄN</t>
        </is>
      </c>
      <c r="G59" t="inlineStr">
        <is>
          <t>HERRLJUNGA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45518-2023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45194</v>
      </c>
      <c r="E60" s="1" t="n">
        <v>46312</v>
      </c>
      <c r="F60" t="inlineStr">
        <is>
          <t>VÄSTRA GÖTALANDS LÄN</t>
        </is>
      </c>
      <c r="G60" t="inlineStr">
        <is>
          <t>HERRLJUNGA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67782-2021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46312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45721</v>
      </c>
      <c r="E62" s="1" t="n">
        <v>46312</v>
      </c>
      <c r="F62" t="inlineStr">
        <is>
          <t>VÄSTRA GÖTALANDS LÄN</t>
        </is>
      </c>
      <c r="G62" t="inlineStr">
        <is>
          <t>HERRLJUNGA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46312</v>
      </c>
      <c r="F63" t="inlineStr">
        <is>
          <t>VÄSTRA GÖTALANDS LÄN</t>
        </is>
      </c>
      <c r="G63" t="inlineStr">
        <is>
          <t>HERRLJUNGA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27976-2023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46312</v>
      </c>
      <c r="F64" t="inlineStr">
        <is>
          <t>VÄSTRA GÖTALANDS LÄN</t>
        </is>
      </c>
      <c r="G64" t="inlineStr">
        <is>
          <t>HERRLJUNGA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46312</v>
      </c>
      <c r="F65" t="inlineStr">
        <is>
          <t>VÄSTRA GÖTALANDS LÄN</t>
        </is>
      </c>
      <c r="G65" t="inlineStr">
        <is>
          <t>HERRLJUNGA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46312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45728</v>
      </c>
      <c r="E67" s="1" t="n">
        <v>46312</v>
      </c>
      <c r="F67" t="inlineStr">
        <is>
          <t>VÄSTRA GÖTALANDS LÄN</t>
        </is>
      </c>
      <c r="G67" t="inlineStr">
        <is>
          <t>HERRLJUNGA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30377-2024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45491</v>
      </c>
      <c r="E68" s="1" t="n">
        <v>46312</v>
      </c>
      <c r="F68" t="inlineStr">
        <is>
          <t>VÄSTRA GÖTALANDS LÄN</t>
        </is>
      </c>
      <c r="G68" t="inlineStr">
        <is>
          <t>HERRLJUNGA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43063-2024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45567</v>
      </c>
      <c r="E69" s="1" t="n">
        <v>46312</v>
      </c>
      <c r="F69" t="inlineStr">
        <is>
          <t>VÄSTRA GÖTALANDS LÄN</t>
        </is>
      </c>
      <c r="G69" t="inlineStr">
        <is>
          <t>HERRLJUNGA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45085</v>
      </c>
      <c r="E70" s="1" t="n">
        <v>46312</v>
      </c>
      <c r="F70" t="inlineStr">
        <is>
          <t>VÄSTRA GÖTALANDS LÄN</t>
        </is>
      </c>
      <c r="G70" t="inlineStr">
        <is>
          <t>HERRLJUNGA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18511-2022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46312</v>
      </c>
      <c r="F71" t="inlineStr">
        <is>
          <t>VÄSTRA GÖTALANDS LÄN</t>
        </is>
      </c>
      <c r="G71" t="inlineStr">
        <is>
          <t>HERRLJUNGA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42358-2024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45562</v>
      </c>
      <c r="E72" s="1" t="n">
        <v>46312</v>
      </c>
      <c r="F72" t="inlineStr">
        <is>
          <t>VÄSTRA GÖTALANDS LÄN</t>
        </is>
      </c>
      <c r="G72" t="inlineStr">
        <is>
          <t>HERRLJUNGA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46312</v>
      </c>
      <c r="F73" t="inlineStr">
        <is>
          <t>VÄSTRA GÖTALANDS LÄN</t>
        </is>
      </c>
      <c r="G73" t="inlineStr">
        <is>
          <t>HERRLJUNGA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46312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45476</v>
      </c>
      <c r="E75" s="1" t="n">
        <v>46312</v>
      </c>
      <c r="F75" t="inlineStr">
        <is>
          <t>VÄSTRA GÖTALANDS LÄN</t>
        </is>
      </c>
      <c r="G75" t="inlineStr">
        <is>
          <t>HERRLJUNGA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11625-2024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45373</v>
      </c>
      <c r="E76" s="1" t="n">
        <v>46312</v>
      </c>
      <c r="F76" t="inlineStr">
        <is>
          <t>VÄSTRA GÖTALANDS LÄN</t>
        </is>
      </c>
      <c r="G76" t="inlineStr">
        <is>
          <t>HERRLJUNGA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45005</v>
      </c>
      <c r="E77" s="1" t="n">
        <v>46312</v>
      </c>
      <c r="F77" t="inlineStr">
        <is>
          <t>VÄSTRA GÖTALANDS LÄN</t>
        </is>
      </c>
      <c r="G77" t="inlineStr">
        <is>
          <t>HERRLJUNGA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44790</v>
      </c>
      <c r="E78" s="1" t="n">
        <v>46312</v>
      </c>
      <c r="F78" t="inlineStr">
        <is>
          <t>VÄSTRA GÖTALANDS LÄN</t>
        </is>
      </c>
      <c r="G78" t="inlineStr">
        <is>
          <t>HERRLJUNGA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46312</v>
      </c>
      <c r="F79" t="inlineStr">
        <is>
          <t>VÄSTRA GÖTALANDS LÄN</t>
        </is>
      </c>
      <c r="G79" t="inlineStr">
        <is>
          <t>HERRLJUNGA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46312</v>
      </c>
      <c r="F80" t="inlineStr">
        <is>
          <t>VÄSTRA GÖTALANDS LÄN</t>
        </is>
      </c>
      <c r="G80" t="inlineStr">
        <is>
          <t>HERRLJUNGA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46312</v>
      </c>
      <c r="F81" t="inlineStr">
        <is>
          <t>VÄSTRA GÖTALANDS LÄN</t>
        </is>
      </c>
      <c r="G81" t="inlineStr">
        <is>
          <t>HERRLJUNGA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46312</v>
      </c>
      <c r="F82" t="inlineStr">
        <is>
          <t>VÄSTRA GÖTALANDS LÄN</t>
        </is>
      </c>
      <c r="G82" t="inlineStr">
        <is>
          <t>HERRLJUNGA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46113-2022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44847</v>
      </c>
      <c r="E83" s="1" t="n">
        <v>46312</v>
      </c>
      <c r="F83" t="inlineStr">
        <is>
          <t>VÄSTRA GÖTALANDS LÄN</t>
        </is>
      </c>
      <c r="G83" t="inlineStr">
        <is>
          <t>HERRLJUNGA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46312</v>
      </c>
      <c r="F84" t="inlineStr">
        <is>
          <t>VÄSTRA GÖTALANDS LÄN</t>
        </is>
      </c>
      <c r="G84" t="inlineStr">
        <is>
          <t>HERRLJUNGA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46312</v>
      </c>
      <c r="F85" t="inlineStr">
        <is>
          <t>VÄSTRA GÖTALANDS LÄN</t>
        </is>
      </c>
      <c r="G85" t="inlineStr">
        <is>
          <t>HERRLJUNGA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42126-2023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46312</v>
      </c>
      <c r="F86" t="inlineStr">
        <is>
          <t>VÄSTRA GÖTALANDS LÄN</t>
        </is>
      </c>
      <c r="G86" t="inlineStr">
        <is>
          <t>HERRLJUNGA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69968-2021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46312</v>
      </c>
      <c r="F87" t="inlineStr">
        <is>
          <t>VÄSTRA GÖTALANDS LÄN</t>
        </is>
      </c>
      <c r="G87" t="inlineStr">
        <is>
          <t>HERRLJUNGA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46312</v>
      </c>
      <c r="F88" t="inlineStr">
        <is>
          <t>VÄSTRA GÖTALANDS LÄN</t>
        </is>
      </c>
      <c r="G88" t="inlineStr">
        <is>
          <t>HERRLJUNGA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46312</v>
      </c>
      <c r="F89" t="inlineStr">
        <is>
          <t>VÄSTRA GÖTALANDS LÄN</t>
        </is>
      </c>
      <c r="G89" t="inlineStr">
        <is>
          <t>HERRLJUNGA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45763</v>
      </c>
      <c r="E90" s="1" t="n">
        <v>46312</v>
      </c>
      <c r="F90" t="inlineStr">
        <is>
          <t>VÄSTRA GÖTALANDS LÄN</t>
        </is>
      </c>
      <c r="G90" t="inlineStr">
        <is>
          <t>HERRLJUNGA</t>
        </is>
      </c>
      <c r="H90" t="inlineStr">
        <is>
          <t>Sveaskog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46312</v>
      </c>
      <c r="F91" t="inlineStr">
        <is>
          <t>VÄSTRA GÖTALANDS LÄN</t>
        </is>
      </c>
      <c r="G91" t="inlineStr">
        <is>
          <t>HERRLJUNGA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45660</v>
      </c>
      <c r="E92" s="1" t="n">
        <v>46312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45737</v>
      </c>
      <c r="E93" s="1" t="n">
        <v>46312</v>
      </c>
      <c r="F93" t="inlineStr">
        <is>
          <t>VÄSTRA GÖTALANDS LÄN</t>
        </is>
      </c>
      <c r="G93" t="inlineStr">
        <is>
          <t>HERRLJUNGA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46312</v>
      </c>
      <c r="F94" t="inlineStr">
        <is>
          <t>VÄSTRA GÖTALANDS LÄN</t>
        </is>
      </c>
      <c r="G94" t="inlineStr">
        <is>
          <t>HERRLJUNGA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46312</v>
      </c>
      <c r="F95" t="inlineStr">
        <is>
          <t>VÄSTRA GÖTALANDS LÄN</t>
        </is>
      </c>
      <c r="G95" t="inlineStr">
        <is>
          <t>HERRLJUNGA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46312</v>
      </c>
      <c r="F96" t="inlineStr">
        <is>
          <t>VÄSTRA GÖTALANDS LÄN</t>
        </is>
      </c>
      <c r="G96" t="inlineStr">
        <is>
          <t>HERRLJUNGA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46312</v>
      </c>
      <c r="F97" t="inlineStr">
        <is>
          <t>VÄSTRA GÖTALANDS LÄN</t>
        </is>
      </c>
      <c r="G97" t="inlineStr">
        <is>
          <t>HERRLJUNGA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46312</v>
      </c>
      <c r="F98" t="inlineStr">
        <is>
          <t>VÄSTRA GÖTALANDS LÄN</t>
        </is>
      </c>
      <c r="G98" t="inlineStr">
        <is>
          <t>HERRLJUNGA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46312</v>
      </c>
      <c r="F99" t="inlineStr">
        <is>
          <t>VÄSTRA GÖTALANDS LÄN</t>
        </is>
      </c>
      <c r="G99" t="inlineStr">
        <is>
          <t>HERRLJUNGA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46312</v>
      </c>
      <c r="F100" t="inlineStr">
        <is>
          <t>VÄSTRA GÖTALANDS LÄN</t>
        </is>
      </c>
      <c r="G100" t="inlineStr">
        <is>
          <t>HERRLJUNGA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45756</v>
      </c>
      <c r="E101" s="1" t="n">
        <v>46312</v>
      </c>
      <c r="F101" t="inlineStr">
        <is>
          <t>VÄSTRA GÖTALANDS LÄN</t>
        </is>
      </c>
      <c r="G101" t="inlineStr">
        <is>
          <t>HERRLJUNGA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40842-2023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45172</v>
      </c>
      <c r="E102" s="1" t="n">
        <v>46312</v>
      </c>
      <c r="F102" t="inlineStr">
        <is>
          <t>VÄSTRA GÖTALANDS LÄN</t>
        </is>
      </c>
      <c r="G102" t="inlineStr">
        <is>
          <t>HERRLJUNGA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44914</v>
      </c>
      <c r="E103" s="1" t="n">
        <v>46312</v>
      </c>
      <c r="F103" t="inlineStr">
        <is>
          <t>VÄSTRA GÖTALANDS LÄN</t>
        </is>
      </c>
      <c r="G103" t="inlineStr">
        <is>
          <t>HERRLJUNGA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46312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49106-2022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46312</v>
      </c>
      <c r="F105" t="inlineStr">
        <is>
          <t>VÄSTRA GÖTALANDS LÄN</t>
        </is>
      </c>
      <c r="G105" t="inlineStr">
        <is>
          <t>HERRLJUNGA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46312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46312</v>
      </c>
      <c r="F107" t="inlineStr">
        <is>
          <t>VÄSTRA GÖTALANDS LÄN</t>
        </is>
      </c>
      <c r="G107" t="inlineStr">
        <is>
          <t>HERRLJUNGA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46312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45896</v>
      </c>
      <c r="E109" s="1" t="n">
        <v>46312</v>
      </c>
      <c r="F109" t="inlineStr">
        <is>
          <t>VÄSTRA GÖTALANDS LÄN</t>
        </is>
      </c>
      <c r="G109" t="inlineStr">
        <is>
          <t>HERRLJUNGA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46128-2022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46312</v>
      </c>
      <c r="F110" t="inlineStr">
        <is>
          <t>VÄSTRA GÖTALANDS LÄN</t>
        </is>
      </c>
      <c r="G110" t="inlineStr">
        <is>
          <t>HERRLJUNGA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46312</v>
      </c>
      <c r="F111" t="inlineStr">
        <is>
          <t>VÄSTRA GÖTALANDS LÄN</t>
        </is>
      </c>
      <c r="G111" t="inlineStr">
        <is>
          <t>HERRLJUNGA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46312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46312</v>
      </c>
      <c r="F113" t="inlineStr">
        <is>
          <t>VÄSTRA GÖTALANDS LÄN</t>
        </is>
      </c>
      <c r="G113" t="inlineStr">
        <is>
          <t>HERRLJUNGA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46312</v>
      </c>
      <c r="F114" t="inlineStr">
        <is>
          <t>VÄSTRA GÖTALANDS LÄN</t>
        </is>
      </c>
      <c r="G114" t="inlineStr">
        <is>
          <t>HERRLJUNGA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45266</v>
      </c>
      <c r="E115" s="1" t="n">
        <v>46312</v>
      </c>
      <c r="F115" t="inlineStr">
        <is>
          <t>VÄSTRA GÖTALANDS LÄN</t>
        </is>
      </c>
      <c r="G115" t="inlineStr">
        <is>
          <t>HERRLJUNGA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45214</v>
      </c>
      <c r="E116" s="1" t="n">
        <v>46312</v>
      </c>
      <c r="F116" t="inlineStr">
        <is>
          <t>VÄSTRA GÖTALANDS LÄN</t>
        </is>
      </c>
      <c r="G116" t="inlineStr">
        <is>
          <t>HERRLJUNGA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46312</v>
      </c>
      <c r="F117" t="inlineStr">
        <is>
          <t>VÄSTRA GÖTALANDS LÄN</t>
        </is>
      </c>
      <c r="G117" t="inlineStr">
        <is>
          <t>HERRLJUNGA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46312</v>
      </c>
      <c r="F118" t="inlineStr">
        <is>
          <t>VÄSTRA GÖTALANDS LÄN</t>
        </is>
      </c>
      <c r="G118" t="inlineStr">
        <is>
          <t>HERRLJUNGA</t>
        </is>
      </c>
      <c r="H118" t="inlineStr">
        <is>
          <t>Kyrkan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46312</v>
      </c>
      <c r="F119" t="inlineStr">
        <is>
          <t>VÄSTRA GÖTALANDS LÄN</t>
        </is>
      </c>
      <c r="G119" t="inlineStr">
        <is>
          <t>HERRLJUNGA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20907-2026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46142</v>
      </c>
      <c r="E120" s="1" t="n">
        <v>46312</v>
      </c>
      <c r="F120" t="inlineStr">
        <is>
          <t>VÄSTRA GÖTALANDS LÄN</t>
        </is>
      </c>
      <c r="G120" t="inlineStr">
        <is>
          <t>HERRLJUNGA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45155</v>
      </c>
      <c r="E121" s="1" t="n">
        <v>46312</v>
      </c>
      <c r="F121" t="inlineStr">
        <is>
          <t>VÄSTRA GÖTALANDS LÄN</t>
        </is>
      </c>
      <c r="G121" t="inlineStr">
        <is>
          <t>HERRLJUNGA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46312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Kyrkan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46312</v>
      </c>
      <c r="F123" t="inlineStr">
        <is>
          <t>VÄSTRA GÖTALANDS LÄN</t>
        </is>
      </c>
      <c r="G123" t="inlineStr">
        <is>
          <t>HERRLJUNGA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45578</v>
      </c>
      <c r="E124" s="1" t="n">
        <v>46312</v>
      </c>
      <c r="F124" t="inlineStr">
        <is>
          <t>VÄSTRA GÖTALANDS LÄN</t>
        </is>
      </c>
      <c r="G124" t="inlineStr">
        <is>
          <t>HERRLJUNGA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46312</v>
      </c>
      <c r="F125" t="inlineStr">
        <is>
          <t>VÄSTRA GÖTALANDS LÄN</t>
        </is>
      </c>
      <c r="G125" t="inlineStr">
        <is>
          <t>HERRLJUNGA</t>
        </is>
      </c>
      <c r="I125" t="n">
        <v>10.6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45922</v>
      </c>
      <c r="E126" s="1" t="n">
        <v>46312</v>
      </c>
      <c r="F126" t="inlineStr">
        <is>
          <t>VÄSTRA GÖTALANDS LÄN</t>
        </is>
      </c>
      <c r="G126" t="inlineStr">
        <is>
          <t>HERRLJUNGA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46312</v>
      </c>
      <c r="F127" t="inlineStr">
        <is>
          <t>VÄSTRA GÖTALANDS LÄN</t>
        </is>
      </c>
      <c r="G127" t="inlineStr">
        <is>
          <t>HERRLJUNGA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46312</v>
      </c>
      <c r="F128" t="inlineStr">
        <is>
          <t>VÄSTRA GÖTALANDS LÄN</t>
        </is>
      </c>
      <c r="G128" t="inlineStr">
        <is>
          <t>HERRLJUNGA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38470-2024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45546</v>
      </c>
      <c r="E129" s="1" t="n">
        <v>46312</v>
      </c>
      <c r="F129" t="inlineStr">
        <is>
          <t>VÄSTRA GÖTALANDS LÄN</t>
        </is>
      </c>
      <c r="G129" t="inlineStr">
        <is>
          <t>HERRLJUNGA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46312</v>
      </c>
      <c r="F130" t="inlineStr">
        <is>
          <t>VÄSTRA GÖTALANDS LÄN</t>
        </is>
      </c>
      <c r="G130" t="inlineStr">
        <is>
          <t>HERRLJUNGA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46312</v>
      </c>
      <c r="F131" t="inlineStr">
        <is>
          <t>VÄSTRA GÖTALANDS LÄN</t>
        </is>
      </c>
      <c r="G131" t="inlineStr">
        <is>
          <t>HERRLJUNGA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46312</v>
      </c>
      <c r="F132" t="inlineStr">
        <is>
          <t>VÄSTRA GÖTALANDS LÄN</t>
        </is>
      </c>
      <c r="G132" t="inlineStr">
        <is>
          <t>HERRLJUNGA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46312</v>
      </c>
      <c r="F133" t="inlineStr">
        <is>
          <t>VÄSTRA GÖTALANDS LÄN</t>
        </is>
      </c>
      <c r="G133" t="inlineStr">
        <is>
          <t>HERRLJUNGA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46312</v>
      </c>
      <c r="F134" t="inlineStr">
        <is>
          <t>VÄSTRA GÖTALANDS LÄN</t>
        </is>
      </c>
      <c r="G134" t="inlineStr">
        <is>
          <t>HERRLJUNGA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46635-2025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46312</v>
      </c>
      <c r="F135" t="inlineStr">
        <is>
          <t>VÄSTRA GÖTALANDS LÄN</t>
        </is>
      </c>
      <c r="G135" t="inlineStr">
        <is>
          <t>HERRLJUNGA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46312</v>
      </c>
      <c r="F136" t="inlineStr">
        <is>
          <t>VÄSTRA GÖTALANDS LÄN</t>
        </is>
      </c>
      <c r="G136" t="inlineStr">
        <is>
          <t>HERRLJUNGA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48357-2025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46312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46312</v>
      </c>
      <c r="F138" t="inlineStr">
        <is>
          <t>VÄSTRA GÖTALANDS LÄN</t>
        </is>
      </c>
      <c r="G138" t="inlineStr">
        <is>
          <t>HERRLJUNGA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47360-2024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46312</v>
      </c>
      <c r="F139" t="inlineStr">
        <is>
          <t>VÄSTRA GÖTALANDS LÄN</t>
        </is>
      </c>
      <c r="G139" t="inlineStr">
        <is>
          <t>HERRLJUNGA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46312</v>
      </c>
      <c r="F140" t="inlineStr">
        <is>
          <t>VÄSTRA GÖTALANDS LÄN</t>
        </is>
      </c>
      <c r="G140" t="inlineStr">
        <is>
          <t>HERRLJUNGA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46312</v>
      </c>
      <c r="F141" t="inlineStr">
        <is>
          <t>VÄSTRA GÖTALANDS LÄN</t>
        </is>
      </c>
      <c r="G141" t="inlineStr">
        <is>
          <t>HERRLJUNGA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45084</v>
      </c>
      <c r="E142" s="1" t="n">
        <v>46312</v>
      </c>
      <c r="F142" t="inlineStr">
        <is>
          <t>VÄSTRA GÖTALANDS LÄN</t>
        </is>
      </c>
      <c r="G142" t="inlineStr">
        <is>
          <t>HERRLJUNGA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54377-2022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44882</v>
      </c>
      <c r="E143" s="1" t="n">
        <v>46312</v>
      </c>
      <c r="F143" t="inlineStr">
        <is>
          <t>VÄSTRA GÖTALANDS LÄN</t>
        </is>
      </c>
      <c r="G143" t="inlineStr">
        <is>
          <t>HERRLJUNGA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46312</v>
      </c>
      <c r="F144" t="inlineStr">
        <is>
          <t>VÄSTRA GÖTALANDS LÄN</t>
        </is>
      </c>
      <c r="G144" t="inlineStr">
        <is>
          <t>HERRLJUNGA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46312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46312</v>
      </c>
      <c r="F146" t="inlineStr">
        <is>
          <t>VÄSTRA GÖTALANDS LÄN</t>
        </is>
      </c>
      <c r="G146" t="inlineStr">
        <is>
          <t>HERRLJUNGA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45621</v>
      </c>
      <c r="E147" s="1" t="n">
        <v>46312</v>
      </c>
      <c r="F147" t="inlineStr">
        <is>
          <t>VÄSTRA GÖTALANDS LÄN</t>
        </is>
      </c>
      <c r="G147" t="inlineStr">
        <is>
          <t>HERRLJUNGA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46312</v>
      </c>
      <c r="F148" t="inlineStr">
        <is>
          <t>VÄSTRA GÖTALANDS LÄN</t>
        </is>
      </c>
      <c r="G148" t="inlineStr">
        <is>
          <t>HERRLJUNGA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46312</v>
      </c>
      <c r="F149" t="inlineStr">
        <is>
          <t>VÄSTRA GÖTALANDS LÄN</t>
        </is>
      </c>
      <c r="G149" t="inlineStr">
        <is>
          <t>HERRLJUNGA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46312</v>
      </c>
      <c r="F150" t="inlineStr">
        <is>
          <t>VÄSTRA GÖTALANDS LÄN</t>
        </is>
      </c>
      <c r="G150" t="inlineStr">
        <is>
          <t>HERRLJUNGA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46312</v>
      </c>
      <c r="F151" t="inlineStr">
        <is>
          <t>VÄSTRA GÖTALANDS LÄN</t>
        </is>
      </c>
      <c r="G151" t="inlineStr">
        <is>
          <t>HERRLJUNGA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46312</v>
      </c>
      <c r="F152" t="inlineStr">
        <is>
          <t>VÄSTRA GÖTALANDS LÄN</t>
        </is>
      </c>
      <c r="G152" t="inlineStr">
        <is>
          <t>HERRLJUNGA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46312</v>
      </c>
      <c r="F153" t="inlineStr">
        <is>
          <t>VÄSTRA GÖTALANDS LÄN</t>
        </is>
      </c>
      <c r="G153" t="inlineStr">
        <is>
          <t>HERRLJUNGA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46312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46312</v>
      </c>
      <c r="F155" t="inlineStr">
        <is>
          <t>VÄSTRA GÖTALANDS LÄN</t>
        </is>
      </c>
      <c r="G155" t="inlineStr">
        <is>
          <t>HERRLJUNGA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46312</v>
      </c>
      <c r="F156" t="inlineStr">
        <is>
          <t>VÄSTRA GÖTALANDS LÄN</t>
        </is>
      </c>
      <c r="G156" t="inlineStr">
        <is>
          <t>HERRLJUNGA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46312</v>
      </c>
      <c r="F157" t="inlineStr">
        <is>
          <t>VÄSTRA GÖTALANDS LÄN</t>
        </is>
      </c>
      <c r="G157" t="inlineStr">
        <is>
          <t>HERRLJUNGA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46312</v>
      </c>
      <c r="F158" t="inlineStr">
        <is>
          <t>VÄSTRA GÖTALANDS LÄN</t>
        </is>
      </c>
      <c r="G158" t="inlineStr">
        <is>
          <t>HERRLJUNGA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45153</v>
      </c>
      <c r="E159" s="1" t="n">
        <v>46312</v>
      </c>
      <c r="F159" t="inlineStr">
        <is>
          <t>VÄSTRA GÖTALANDS LÄN</t>
        </is>
      </c>
      <c r="G159" t="inlineStr">
        <is>
          <t>HERRLJUNGA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44686</v>
      </c>
      <c r="E160" s="1" t="n">
        <v>46312</v>
      </c>
      <c r="F160" t="inlineStr">
        <is>
          <t>VÄSTRA GÖTALANDS LÄN</t>
        </is>
      </c>
      <c r="G160" t="inlineStr">
        <is>
          <t>HERRLJUNGA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46312</v>
      </c>
      <c r="F161" t="inlineStr">
        <is>
          <t>VÄSTRA GÖTALANDS LÄN</t>
        </is>
      </c>
      <c r="G161" t="inlineStr">
        <is>
          <t>HERRLJUNGA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46312</v>
      </c>
      <c r="F162" t="inlineStr">
        <is>
          <t>VÄSTRA GÖTALANDS LÄN</t>
        </is>
      </c>
      <c r="G162" t="inlineStr">
        <is>
          <t>HERRLJUNGA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46312</v>
      </c>
      <c r="F163" t="inlineStr">
        <is>
          <t>VÄSTRA GÖTALANDS LÄN</t>
        </is>
      </c>
      <c r="G163" t="inlineStr">
        <is>
          <t>HERRLJUNGA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46312</v>
      </c>
      <c r="F164" t="inlineStr">
        <is>
          <t>VÄSTRA GÖTALANDS LÄN</t>
        </is>
      </c>
      <c r="G164" t="inlineStr">
        <is>
          <t>HERRLJUNGA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45978</v>
      </c>
      <c r="E165" s="1" t="n">
        <v>46312</v>
      </c>
      <c r="F165" t="inlineStr">
        <is>
          <t>VÄSTRA GÖTALANDS LÄN</t>
        </is>
      </c>
      <c r="G165" t="inlineStr">
        <is>
          <t>HERRLJUNGA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46312</v>
      </c>
      <c r="F166" t="inlineStr">
        <is>
          <t>VÄSTRA GÖTALANDS LÄN</t>
        </is>
      </c>
      <c r="G166" t="inlineStr">
        <is>
          <t>HERRLJUNGA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46312</v>
      </c>
      <c r="F167" t="inlineStr">
        <is>
          <t>VÄSTRA GÖTALANDS LÄN</t>
        </is>
      </c>
      <c r="G167" t="inlineStr">
        <is>
          <t>HERRLJUNGA</t>
        </is>
      </c>
      <c r="H167" t="inlineStr">
        <is>
          <t>Kyrkan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46312</v>
      </c>
      <c r="F168" t="inlineStr">
        <is>
          <t>VÄSTRA GÖTALANDS LÄN</t>
        </is>
      </c>
      <c r="G168" t="inlineStr">
        <is>
          <t>HERRLJUNGA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58220-2025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46312</v>
      </c>
      <c r="F169" t="inlineStr">
        <is>
          <t>VÄSTRA GÖTALANDS LÄN</t>
        </is>
      </c>
      <c r="G169" t="inlineStr">
        <is>
          <t>HERRLJUNGA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46312</v>
      </c>
      <c r="F170" t="inlineStr">
        <is>
          <t>VÄSTRA GÖTALANDS LÄN</t>
        </is>
      </c>
      <c r="G170" t="inlineStr">
        <is>
          <t>HERRLJUNGA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46312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Kyrkan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58800-2025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45986</v>
      </c>
      <c r="E172" s="1" t="n">
        <v>46312</v>
      </c>
      <c r="F172" t="inlineStr">
        <is>
          <t>VÄSTRA GÖTALANDS LÄN</t>
        </is>
      </c>
      <c r="G172" t="inlineStr">
        <is>
          <t>HERRLJUNGA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45723</v>
      </c>
      <c r="E173" s="1" t="n">
        <v>46312</v>
      </c>
      <c r="F173" t="inlineStr">
        <is>
          <t>VÄSTRA GÖTALANDS LÄN</t>
        </is>
      </c>
      <c r="G173" t="inlineStr">
        <is>
          <t>HERRLJUNGA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46312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46312</v>
      </c>
      <c r="F175" t="inlineStr">
        <is>
          <t>VÄSTRA GÖTALANDS LÄN</t>
        </is>
      </c>
      <c r="G175" t="inlineStr">
        <is>
          <t>HERRLJUNGA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46312</v>
      </c>
      <c r="F176" t="inlineStr">
        <is>
          <t>VÄSTRA GÖTALANDS LÄN</t>
        </is>
      </c>
      <c r="G176" t="inlineStr">
        <is>
          <t>HERRLJUNGA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46312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Övriga statliga verk och myndigheter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46312</v>
      </c>
      <c r="F178" t="inlineStr">
        <is>
          <t>VÄSTRA GÖTALANDS LÄN</t>
        </is>
      </c>
      <c r="G178" t="inlineStr">
        <is>
          <t>HERRLJUNGA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46312</v>
      </c>
      <c r="F179" t="inlineStr">
        <is>
          <t>VÄSTRA GÖTALANDS LÄN</t>
        </is>
      </c>
      <c r="G179" t="inlineStr">
        <is>
          <t>HERRLJUNGA</t>
        </is>
      </c>
      <c r="H179" t="inlineStr">
        <is>
          <t>Övriga statliga verk och myndigheter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46312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46312</v>
      </c>
      <c r="F181" t="inlineStr">
        <is>
          <t>VÄSTRA GÖTALANDS LÄN</t>
        </is>
      </c>
      <c r="G181" t="inlineStr">
        <is>
          <t>HERRLJUNGA</t>
        </is>
      </c>
      <c r="H181" t="inlineStr">
        <is>
          <t>Kyrkan</t>
        </is>
      </c>
      <c r="I181" t="n">
        <v>7.9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34188-2023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45138</v>
      </c>
      <c r="E182" s="1" t="n">
        <v>46312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46312</v>
      </c>
      <c r="F183" t="inlineStr">
        <is>
          <t>VÄSTRA GÖTALANDS LÄN</t>
        </is>
      </c>
      <c r="G183" t="inlineStr">
        <is>
          <t>HERRLJUNGA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46312</v>
      </c>
      <c r="F184" t="inlineStr">
        <is>
          <t>VÄSTRA GÖTALANDS LÄN</t>
        </is>
      </c>
      <c r="G184" t="inlineStr">
        <is>
          <t>HERRLJUNGA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46312</v>
      </c>
      <c r="F185" t="inlineStr">
        <is>
          <t>VÄSTRA GÖTALANDS LÄN</t>
        </is>
      </c>
      <c r="G185" t="inlineStr">
        <is>
          <t>HERRLJUNGA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23513-2024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45453</v>
      </c>
      <c r="E186" s="1" t="n">
        <v>46312</v>
      </c>
      <c r="F186" t="inlineStr">
        <is>
          <t>VÄSTRA GÖTALANDS LÄN</t>
        </is>
      </c>
      <c r="G186" t="inlineStr">
        <is>
          <t>HERRLJUNGA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46312</v>
      </c>
      <c r="F187" t="inlineStr">
        <is>
          <t>VÄSTRA GÖTALANDS LÄN</t>
        </is>
      </c>
      <c r="G187" t="inlineStr">
        <is>
          <t>HERRLJUNGA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45639</v>
      </c>
      <c r="E188" s="1" t="n">
        <v>46312</v>
      </c>
      <c r="F188" t="inlineStr">
        <is>
          <t>VÄSTRA GÖTALANDS LÄN</t>
        </is>
      </c>
      <c r="G188" t="inlineStr">
        <is>
          <t>HERRLJUNGA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46312</v>
      </c>
      <c r="F189" t="inlineStr">
        <is>
          <t>VÄSTRA GÖTALANDS LÄN</t>
        </is>
      </c>
      <c r="G189" t="inlineStr">
        <is>
          <t>HERRLJUNGA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45163</v>
      </c>
      <c r="E190" s="1" t="n">
        <v>46312</v>
      </c>
      <c r="F190" t="inlineStr">
        <is>
          <t>VÄSTRA GÖTALANDS LÄN</t>
        </is>
      </c>
      <c r="G190" t="inlineStr">
        <is>
          <t>HERRLJUNGA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28907-2024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45480</v>
      </c>
      <c r="E191" s="1" t="n">
        <v>46312</v>
      </c>
      <c r="F191" t="inlineStr">
        <is>
          <t>VÄSTRA GÖTALANDS LÄN</t>
        </is>
      </c>
      <c r="G191" t="inlineStr">
        <is>
          <t>HERRLJUNGA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53554-2024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45614</v>
      </c>
      <c r="E192" s="1" t="n">
        <v>46312</v>
      </c>
      <c r="F192" t="inlineStr">
        <is>
          <t>VÄSTRA GÖTALANDS LÄN</t>
        </is>
      </c>
      <c r="G192" t="inlineStr">
        <is>
          <t>HERRLJUNGA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46312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46312</v>
      </c>
      <c r="F194" t="inlineStr">
        <is>
          <t>VÄSTRA GÖTALANDS LÄN</t>
        </is>
      </c>
      <c r="G194" t="inlineStr">
        <is>
          <t>HERRLJUNGA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46312</v>
      </c>
      <c r="F195" t="inlineStr">
        <is>
          <t>VÄSTRA GÖTALANDS LÄN</t>
        </is>
      </c>
      <c r="G195" t="inlineStr">
        <is>
          <t>HERRLJUNGA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46312</v>
      </c>
      <c r="F196" t="inlineStr">
        <is>
          <t>VÄSTRA GÖTALANDS LÄN</t>
        </is>
      </c>
      <c r="G196" t="inlineStr">
        <is>
          <t>HERRLJUNGA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45086</v>
      </c>
      <c r="E197" s="1" t="n">
        <v>46312</v>
      </c>
      <c r="F197" t="inlineStr">
        <is>
          <t>VÄSTRA GÖTALANDS LÄN</t>
        </is>
      </c>
      <c r="G197" t="inlineStr">
        <is>
          <t>HERRLJUNGA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46312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9.800000000000001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64105-2025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46312</v>
      </c>
      <c r="F199" t="inlineStr">
        <is>
          <t>VÄSTRA GÖTALANDS LÄN</t>
        </is>
      </c>
      <c r="G199" t="inlineStr">
        <is>
          <t>HERRLJUNGA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46312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46312</v>
      </c>
      <c r="F201" t="inlineStr">
        <is>
          <t>VÄSTRA GÖTALANDS LÄN</t>
        </is>
      </c>
      <c r="G201" t="inlineStr">
        <is>
          <t>HERRLJUNGA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67551-2021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46312</v>
      </c>
      <c r="F202" t="inlineStr">
        <is>
          <t>VÄSTRA GÖTALANDS LÄN</t>
        </is>
      </c>
      <c r="G202" t="inlineStr">
        <is>
          <t>HERRLJUNGA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46312</v>
      </c>
      <c r="F203" t="inlineStr">
        <is>
          <t>VÄSTRA GÖTALANDS LÄN</t>
        </is>
      </c>
      <c r="G203" t="inlineStr">
        <is>
          <t>HERRLJUNGA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46312</v>
      </c>
      <c r="F204" t="inlineStr">
        <is>
          <t>VÄSTRA GÖTALANDS LÄN</t>
        </is>
      </c>
      <c r="G204" t="inlineStr">
        <is>
          <t>HERRLJUNGA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44659</v>
      </c>
      <c r="E205" s="1" t="n">
        <v>46312</v>
      </c>
      <c r="F205" t="inlineStr">
        <is>
          <t>VÄSTRA GÖTALANDS LÄN</t>
        </is>
      </c>
      <c r="G205" t="inlineStr">
        <is>
          <t>HERRLJUNGA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46312</v>
      </c>
      <c r="F206" t="inlineStr">
        <is>
          <t>VÄSTRA GÖTALANDS LÄN</t>
        </is>
      </c>
      <c r="G206" t="inlineStr">
        <is>
          <t>HERRLJUNGA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46312</v>
      </c>
      <c r="F207" t="inlineStr">
        <is>
          <t>VÄSTRA GÖTALANDS LÄN</t>
        </is>
      </c>
      <c r="G207" t="inlineStr">
        <is>
          <t>HERRLJUNGA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46312</v>
      </c>
      <c r="F208" t="inlineStr">
        <is>
          <t>VÄSTRA GÖTALANDS LÄN</t>
        </is>
      </c>
      <c r="G208" t="inlineStr">
        <is>
          <t>HERRLJUNGA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46312</v>
      </c>
      <c r="F209" t="inlineStr">
        <is>
          <t>VÄSTRA GÖTALANDS LÄN</t>
        </is>
      </c>
      <c r="G209" t="inlineStr">
        <is>
          <t>HERRLJUNGA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46312</v>
      </c>
      <c r="F210" t="inlineStr">
        <is>
          <t>VÄSTRA GÖTALANDS LÄN</t>
        </is>
      </c>
      <c r="G210" t="inlineStr">
        <is>
          <t>HERRLJUNGA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46312</v>
      </c>
      <c r="F211" t="inlineStr">
        <is>
          <t>VÄSTRA GÖTALANDS LÄN</t>
        </is>
      </c>
      <c r="G211" t="inlineStr">
        <is>
          <t>HERRLJUNGA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46312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46312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46312</v>
      </c>
      <c r="F214" t="inlineStr">
        <is>
          <t>VÄSTRA GÖTALANDS LÄN</t>
        </is>
      </c>
      <c r="G214" t="inlineStr">
        <is>
          <t>HERRLJUNGA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46312</v>
      </c>
      <c r="F215" t="inlineStr">
        <is>
          <t>VÄSTRA GÖTALANDS LÄN</t>
        </is>
      </c>
      <c r="G215" t="inlineStr">
        <is>
          <t>HERRLJUNGA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46312</v>
      </c>
      <c r="F216" t="inlineStr">
        <is>
          <t>VÄSTRA GÖTALANDS LÄN</t>
        </is>
      </c>
      <c r="G216" t="inlineStr">
        <is>
          <t>HERRLJUNGA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45624</v>
      </c>
      <c r="E217" s="1" t="n">
        <v>46312</v>
      </c>
      <c r="F217" t="inlineStr">
        <is>
          <t>VÄSTRA GÖTALANDS LÄN</t>
        </is>
      </c>
      <c r="G217" t="inlineStr">
        <is>
          <t>HERRLJUNGA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45101</v>
      </c>
      <c r="E218" s="1" t="n">
        <v>46312</v>
      </c>
      <c r="F218" t="inlineStr">
        <is>
          <t>VÄSTRA GÖTALANDS LÄN</t>
        </is>
      </c>
      <c r="G218" t="inlineStr">
        <is>
          <t>HERRLJUNGA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46312</v>
      </c>
      <c r="F219" t="inlineStr">
        <is>
          <t>VÄSTRA GÖTALANDS LÄN</t>
        </is>
      </c>
      <c r="G219" t="inlineStr">
        <is>
          <t>HERRLJUNGA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46312</v>
      </c>
      <c r="F220" t="inlineStr">
        <is>
          <t>VÄSTRA GÖTALANDS LÄN</t>
        </is>
      </c>
      <c r="G220" t="inlineStr">
        <is>
          <t>HERRLJUNGA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46312</v>
      </c>
      <c r="F221" t="inlineStr">
        <is>
          <t>VÄSTRA GÖTALANDS LÄN</t>
        </is>
      </c>
      <c r="G221" t="inlineStr">
        <is>
          <t>HERRLJUNGA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46044</v>
      </c>
      <c r="E222" s="1" t="n">
        <v>46312</v>
      </c>
      <c r="F222" t="inlineStr">
        <is>
          <t>VÄSTRA GÖTALANDS LÄN</t>
        </is>
      </c>
      <c r="G222" t="inlineStr">
        <is>
          <t>HERRLJUNGA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25781-2026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46312</v>
      </c>
      <c r="F223" t="inlineStr">
        <is>
          <t>VÄSTRA GÖTALANDS LÄN</t>
        </is>
      </c>
      <c r="G223" t="inlineStr">
        <is>
          <t>HERRLJUNGA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46312</v>
      </c>
      <c r="F224" t="inlineStr">
        <is>
          <t>VÄSTRA GÖTALANDS LÄN</t>
        </is>
      </c>
      <c r="G224" t="inlineStr">
        <is>
          <t>HERRLJUNGA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46312</v>
      </c>
      <c r="F225" t="inlineStr">
        <is>
          <t>VÄSTRA GÖTALANDS LÄN</t>
        </is>
      </c>
      <c r="G225" t="inlineStr">
        <is>
          <t>HERRLJUNGA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44866</v>
      </c>
      <c r="E226" s="1" t="n">
        <v>46312</v>
      </c>
      <c r="F226" t="inlineStr">
        <is>
          <t>VÄSTRA GÖTALANDS LÄN</t>
        </is>
      </c>
      <c r="G226" t="inlineStr">
        <is>
          <t>HERRLJUNGA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46312</v>
      </c>
      <c r="F227" t="inlineStr">
        <is>
          <t>VÄSTRA GÖTALANDS LÄN</t>
        </is>
      </c>
      <c r="G227" t="inlineStr">
        <is>
          <t>HERRLJUNGA</t>
        </is>
      </c>
      <c r="I227" t="n">
        <v>14.2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46312</v>
      </c>
      <c r="F228" t="inlineStr">
        <is>
          <t>VÄSTRA GÖTALANDS LÄN</t>
        </is>
      </c>
      <c r="G228" t="inlineStr">
        <is>
          <t>HERRLJUNGA</t>
        </is>
      </c>
      <c r="H228" t="inlineStr">
        <is>
          <t>Kyrkan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46048</v>
      </c>
      <c r="E229" s="1" t="n">
        <v>46312</v>
      </c>
      <c r="F229" t="inlineStr">
        <is>
          <t>VÄSTRA GÖTALANDS LÄN</t>
        </is>
      </c>
      <c r="G229" t="inlineStr">
        <is>
          <t>HERRLJUNGA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45149</v>
      </c>
      <c r="E230" s="1" t="n">
        <v>46312</v>
      </c>
      <c r="F230" t="inlineStr">
        <is>
          <t>VÄSTRA GÖTALANDS LÄN</t>
        </is>
      </c>
      <c r="G230" t="inlineStr">
        <is>
          <t>HERRLJUNGA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45082</v>
      </c>
      <c r="E231" s="1" t="n">
        <v>46312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45009</v>
      </c>
      <c r="E232" s="1" t="n">
        <v>46312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46182</v>
      </c>
      <c r="E233" s="1" t="n">
        <v>46312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Kyrkan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26296-2026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46182</v>
      </c>
      <c r="E234" s="1" t="n">
        <v>46312</v>
      </c>
      <c r="F234" t="inlineStr">
        <is>
          <t>VÄSTRA GÖTALANDS LÄN</t>
        </is>
      </c>
      <c r="G234" t="inlineStr">
        <is>
          <t>HERRLJUNGA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46312</v>
      </c>
      <c r="F235" t="inlineStr">
        <is>
          <t>VÄSTRA GÖTALANDS LÄN</t>
        </is>
      </c>
      <c r="G235" t="inlineStr">
        <is>
          <t>HERRLJUNGA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46312</v>
      </c>
      <c r="F236" t="inlineStr">
        <is>
          <t>VÄSTRA GÖTALANDS LÄN</t>
        </is>
      </c>
      <c r="G236" t="inlineStr">
        <is>
          <t>HERRLJUNGA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46312</v>
      </c>
      <c r="F237" t="inlineStr">
        <is>
          <t>VÄSTRA GÖTALANDS LÄN</t>
        </is>
      </c>
      <c r="G237" t="inlineStr">
        <is>
          <t>HERRLJUNGA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46064</v>
      </c>
      <c r="E238" s="1" t="n">
        <v>46312</v>
      </c>
      <c r="F238" t="inlineStr">
        <is>
          <t>VÄSTRA GÖTALANDS LÄN</t>
        </is>
      </c>
      <c r="G238" t="inlineStr">
        <is>
          <t>HERRLJUNGA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46312</v>
      </c>
      <c r="F239" t="inlineStr">
        <is>
          <t>VÄSTRA GÖTALANDS LÄN</t>
        </is>
      </c>
      <c r="G239" t="inlineStr">
        <is>
          <t>HERRLJUNGA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46312</v>
      </c>
      <c r="F240" t="inlineStr">
        <is>
          <t>VÄSTRA GÖTALANDS LÄN</t>
        </is>
      </c>
      <c r="G240" t="inlineStr">
        <is>
          <t>HERRLJUNGA</t>
        </is>
      </c>
      <c r="H240" t="inlineStr">
        <is>
          <t>Sveaskog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  <c r="Z240">
        <f>HYPERLINK("https://klasma.github.io/Logging_1466/knärot/A 22880-2023 karta knärot.png", "A 22880-2023")</f>
        <v/>
      </c>
      <c r="AA240">
        <f>HYPERLINK("https://klasma.github.io/Logging_1466/klagomål/A 22880-2023 FSC-klagomål.docx", "A 22880-2023")</f>
        <v/>
      </c>
      <c r="AB240">
        <f>HYPERLINK("https://klasma.github.io/Logging_1466/klagomålsmail/A 22880-2023 FSC-klagomål mail.docx", "A 22880-2023")</f>
        <v/>
      </c>
      <c r="AC240">
        <f>HYPERLINK("https://klasma.github.io/Logging_1466/tillsyn/A 22880-2023 tillsynsbegäran.docx", "A 22880-2023")</f>
        <v/>
      </c>
      <c r="AD240">
        <f>HYPERLINK("https://klasma.github.io/Logging_1466/tillsynsmail/A 22880-2023 tillsynsbegäran mail.docx", "A 22880-2023")</f>
        <v/>
      </c>
    </row>
    <row r="241" ht="15" customHeight="1">
      <c r="A241" t="inlineStr">
        <is>
          <t>A 62689-2023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46312</v>
      </c>
      <c r="F241" t="inlineStr">
        <is>
          <t>VÄSTRA GÖTALANDS LÄN</t>
        </is>
      </c>
      <c r="G241" t="inlineStr">
        <is>
          <t>HERRLJUNGA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46070</v>
      </c>
      <c r="E242" s="1" t="n">
        <v>46312</v>
      </c>
      <c r="F242" t="inlineStr">
        <is>
          <t>VÄSTRA GÖTALANDS LÄN</t>
        </is>
      </c>
      <c r="G242" t="inlineStr">
        <is>
          <t>HERRLJUNGA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46312</v>
      </c>
      <c r="F243" t="inlineStr">
        <is>
          <t>VÄSTRA GÖTALANDS LÄN</t>
        </is>
      </c>
      <c r="G243" t="inlineStr">
        <is>
          <t>HERRLJUNGA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46312</v>
      </c>
      <c r="F244" t="inlineStr">
        <is>
          <t>VÄSTRA GÖTALANDS LÄN</t>
        </is>
      </c>
      <c r="G244" t="inlineStr">
        <is>
          <t>HERRLJUNGA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46079</v>
      </c>
      <c r="E245" s="1" t="n">
        <v>46312</v>
      </c>
      <c r="F245" t="inlineStr">
        <is>
          <t>VÄSTRA GÖTALANDS LÄN</t>
        </is>
      </c>
      <c r="G245" t="inlineStr">
        <is>
          <t>HERRLJUNGA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44511</v>
      </c>
      <c r="E246" s="1" t="n">
        <v>46312</v>
      </c>
      <c r="F246" t="inlineStr">
        <is>
          <t>VÄSTRA GÖTALANDS LÄN</t>
        </is>
      </c>
      <c r="G246" t="inlineStr">
        <is>
          <t>HERRLJUNGA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12118-2026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46086</v>
      </c>
      <c r="E247" s="1" t="n">
        <v>46312</v>
      </c>
      <c r="F247" t="inlineStr">
        <is>
          <t>VÄSTRA GÖTALANDS LÄN</t>
        </is>
      </c>
      <c r="G247" t="inlineStr">
        <is>
          <t>HERRLJUNGA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44918</v>
      </c>
      <c r="E248" s="1" t="n">
        <v>46312</v>
      </c>
      <c r="F248" t="inlineStr">
        <is>
          <t>VÄSTRA GÖTALANDS LÄN</t>
        </is>
      </c>
      <c r="G248" t="inlineStr">
        <is>
          <t>HERRLJUNGA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46312</v>
      </c>
      <c r="F249" t="inlineStr">
        <is>
          <t>VÄSTRA GÖTALANDS LÄN</t>
        </is>
      </c>
      <c r="G249" t="inlineStr">
        <is>
          <t>HERRLJUNGA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13666-2026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46097</v>
      </c>
      <c r="E250" s="1" t="n">
        <v>46312</v>
      </c>
      <c r="F250" t="inlineStr">
        <is>
          <t>VÄSTRA GÖTALANDS LÄN</t>
        </is>
      </c>
      <c r="G250" t="inlineStr">
        <is>
          <t>HERRLJUNGA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46097</v>
      </c>
      <c r="E251" s="1" t="n">
        <v>46312</v>
      </c>
      <c r="F251" t="inlineStr">
        <is>
          <t>VÄSTRA GÖTALANDS LÄN</t>
        </is>
      </c>
      <c r="G251" t="inlineStr">
        <is>
          <t>HERRLJUNGA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13663-2026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46097</v>
      </c>
      <c r="E252" s="1" t="n">
        <v>46312</v>
      </c>
      <c r="F252" t="inlineStr">
        <is>
          <t>VÄSTRA GÖTALANDS LÄN</t>
        </is>
      </c>
      <c r="G252" t="inlineStr">
        <is>
          <t>HERRLJUNGA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13796-2026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46097</v>
      </c>
      <c r="E253" s="1" t="n">
        <v>46312</v>
      </c>
      <c r="F253" t="inlineStr">
        <is>
          <t>VÄSTRA GÖTALANDS LÄN</t>
        </is>
      </c>
      <c r="G253" t="inlineStr">
        <is>
          <t>HERRLJUNGA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46099</v>
      </c>
      <c r="E254" s="1" t="n">
        <v>46312</v>
      </c>
      <c r="F254" t="inlineStr">
        <is>
          <t>VÄSTRA GÖTALANDS LÄN</t>
        </is>
      </c>
      <c r="G254" t="inlineStr">
        <is>
          <t>HERRLJUNGA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46099</v>
      </c>
      <c r="E255" s="1" t="n">
        <v>46312</v>
      </c>
      <c r="F255" t="inlineStr">
        <is>
          <t>VÄSTRA GÖTALANDS LÄN</t>
        </is>
      </c>
      <c r="G255" t="inlineStr">
        <is>
          <t>HERRLJUNGA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44574</v>
      </c>
      <c r="E256" s="1" t="n">
        <v>46312</v>
      </c>
      <c r="F256" t="inlineStr">
        <is>
          <t>VÄSTRA GÖTALANDS LÄN</t>
        </is>
      </c>
      <c r="G256" t="inlineStr">
        <is>
          <t>HERRLJUNGA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46312</v>
      </c>
      <c r="F257" t="inlineStr">
        <is>
          <t>VÄSTRA GÖTALANDS LÄN</t>
        </is>
      </c>
      <c r="G257" t="inlineStr">
        <is>
          <t>HERRLJUNGA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45771</v>
      </c>
      <c r="E258" s="1" t="n">
        <v>46312</v>
      </c>
      <c r="F258" t="inlineStr">
        <is>
          <t>VÄSTRA GÖTALANDS LÄN</t>
        </is>
      </c>
      <c r="G258" t="inlineStr">
        <is>
          <t>HERRLJUNGA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46312</v>
      </c>
      <c r="F259" t="inlineStr">
        <is>
          <t>VÄSTRA GÖTALANDS LÄN</t>
        </is>
      </c>
      <c r="G259" t="inlineStr">
        <is>
          <t>HERRLJUNGA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28203-2026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46312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Kyrkan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45277</v>
      </c>
      <c r="E261" s="1" t="n">
        <v>46312</v>
      </c>
      <c r="F261" t="inlineStr">
        <is>
          <t>VÄSTRA GÖTALANDS LÄN</t>
        </is>
      </c>
      <c r="G261" t="inlineStr">
        <is>
          <t>HERRLJUNGA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46312</v>
      </c>
      <c r="F262" t="inlineStr">
        <is>
          <t>VÄSTRA GÖTALANDS LÄN</t>
        </is>
      </c>
      <c r="G262" t="inlineStr">
        <is>
          <t>HERRLJUNGA</t>
        </is>
      </c>
      <c r="H262" t="inlineStr">
        <is>
          <t>Sveaskog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45756</v>
      </c>
      <c r="E263" s="1" t="n">
        <v>46312</v>
      </c>
      <c r="F263" t="inlineStr">
        <is>
          <t>VÄSTRA GÖTALANDS LÄN</t>
        </is>
      </c>
      <c r="G263" t="inlineStr">
        <is>
          <t>HERRLJUNGA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46312</v>
      </c>
      <c r="F264" t="inlineStr">
        <is>
          <t>VÄSTRA GÖTALANDS LÄN</t>
        </is>
      </c>
      <c r="G264" t="inlineStr">
        <is>
          <t>HERRLJUNGA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44952</v>
      </c>
      <c r="E265" s="1" t="n">
        <v>46312</v>
      </c>
      <c r="F265" t="inlineStr">
        <is>
          <t>VÄSTRA GÖTALANDS LÄN</t>
        </is>
      </c>
      <c r="G265" t="inlineStr">
        <is>
          <t>HERRLJUNGA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46312</v>
      </c>
      <c r="F266" t="inlineStr">
        <is>
          <t>VÄSTRA GÖTALANDS LÄN</t>
        </is>
      </c>
      <c r="G266" t="inlineStr">
        <is>
          <t>HERRLJUNGA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46312</v>
      </c>
      <c r="F267" t="inlineStr">
        <is>
          <t>VÄSTRA GÖTALANDS LÄN</t>
        </is>
      </c>
      <c r="G267" t="inlineStr">
        <is>
          <t>HERRLJUNGA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44665</v>
      </c>
      <c r="E268" s="1" t="n">
        <v>46312</v>
      </c>
      <c r="F268" t="inlineStr">
        <is>
          <t>VÄSTRA GÖTALANDS LÄN</t>
        </is>
      </c>
      <c r="G268" t="inlineStr">
        <is>
          <t>HERRLJUNGA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46312</v>
      </c>
      <c r="F269" t="inlineStr">
        <is>
          <t>VÄSTRA GÖTALANDS LÄN</t>
        </is>
      </c>
      <c r="G269" t="inlineStr">
        <is>
          <t>HERRLJUNGA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17556-2026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46312</v>
      </c>
      <c r="F270" t="inlineStr">
        <is>
          <t>VÄSTRA GÖTALANDS LÄN</t>
        </is>
      </c>
      <c r="G270" t="inlineStr">
        <is>
          <t>HERRLJUNGA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34952-2024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46312</v>
      </c>
      <c r="F271" t="inlineStr">
        <is>
          <t>VÄSTRA GÖTALANDS LÄN</t>
        </is>
      </c>
      <c r="G271" t="inlineStr">
        <is>
          <t>HERRLJUNGA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45233</v>
      </c>
      <c r="E272" s="1" t="n">
        <v>46312</v>
      </c>
      <c r="F272" t="inlineStr">
        <is>
          <t>VÄSTRA GÖTALANDS LÄN</t>
        </is>
      </c>
      <c r="G272" t="inlineStr">
        <is>
          <t>HERRLJUNGA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19056-2022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44691</v>
      </c>
      <c r="E273" s="1" t="n">
        <v>46312</v>
      </c>
      <c r="F273" t="inlineStr">
        <is>
          <t>VÄSTRA GÖTALANDS LÄN</t>
        </is>
      </c>
      <c r="G273" t="inlineStr">
        <is>
          <t>HERRLJUNGA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46312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18914-2026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46312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46130</v>
      </c>
      <c r="E276" s="1" t="n">
        <v>46312</v>
      </c>
      <c r="F276" t="inlineStr">
        <is>
          <t>VÄSTRA GÖTALANDS LÄN</t>
        </is>
      </c>
      <c r="G276" t="inlineStr">
        <is>
          <t>HERRLJUNGA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46130</v>
      </c>
      <c r="E277" s="1" t="n">
        <v>46312</v>
      </c>
      <c r="F277" t="inlineStr">
        <is>
          <t>VÄSTRA GÖTALANDS LÄN</t>
        </is>
      </c>
      <c r="G277" t="inlineStr">
        <is>
          <t>HERRLJUNGA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19014-2026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46130</v>
      </c>
      <c r="E278" s="1" t="n">
        <v>46312</v>
      </c>
      <c r="F278" t="inlineStr">
        <is>
          <t>VÄSTRA GÖTALANDS LÄN</t>
        </is>
      </c>
      <c r="G278" t="inlineStr">
        <is>
          <t>HERRLJUNGA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19013-2026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46130</v>
      </c>
      <c r="E279" s="1" t="n">
        <v>46312</v>
      </c>
      <c r="F279" t="inlineStr">
        <is>
          <t>VÄSTRA GÖTALANDS LÄN</t>
        </is>
      </c>
      <c r="G279" t="inlineStr">
        <is>
          <t>HERRLJUNGA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19851-2026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46135</v>
      </c>
      <c r="E280" s="1" t="n">
        <v>46312</v>
      </c>
      <c r="F280" t="inlineStr">
        <is>
          <t>VÄSTRA GÖTALANDS LÄN</t>
        </is>
      </c>
      <c r="G280" t="inlineStr">
        <is>
          <t>HERRLJUNGA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29461-2026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46203</v>
      </c>
      <c r="E281" s="1" t="n">
        <v>46312</v>
      </c>
      <c r="F281" t="inlineStr">
        <is>
          <t>VÄSTRA GÖTALANDS LÄN</t>
        </is>
      </c>
      <c r="G281" t="inlineStr">
        <is>
          <t>HERRLJUNGA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46312</v>
      </c>
      <c r="F282" t="inlineStr">
        <is>
          <t>VÄSTRA GÖTALANDS LÄN</t>
        </is>
      </c>
      <c r="G282" t="inlineStr">
        <is>
          <t>HERRLJUNGA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45077</v>
      </c>
      <c r="E283" s="1" t="n">
        <v>46312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56500-2022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44893</v>
      </c>
      <c r="E284" s="1" t="n">
        <v>46312</v>
      </c>
      <c r="F284" t="inlineStr">
        <is>
          <t>VÄSTRA GÖTALANDS LÄN</t>
        </is>
      </c>
      <c r="G284" t="inlineStr">
        <is>
          <t>HERRLJUNGA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46312</v>
      </c>
      <c r="F285" t="inlineStr">
        <is>
          <t>VÄSTRA GÖTALANDS LÄN</t>
        </is>
      </c>
      <c r="G285" t="inlineStr">
        <is>
          <t>HERRLJUNGA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46312</v>
      </c>
      <c r="F286" t="inlineStr">
        <is>
          <t>VÄSTRA GÖTALANDS LÄN</t>
        </is>
      </c>
      <c r="G286" t="inlineStr">
        <is>
          <t>HERRLJUNGA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46205</v>
      </c>
      <c r="E287" s="1" t="n">
        <v>46312</v>
      </c>
      <c r="F287" t="inlineStr">
        <is>
          <t>VÄSTRA GÖTALANDS LÄN</t>
        </is>
      </c>
      <c r="G287" t="inlineStr">
        <is>
          <t>HERRLJUNGA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45614</v>
      </c>
      <c r="E288" s="1" t="n">
        <v>46312</v>
      </c>
      <c r="F288" t="inlineStr">
        <is>
          <t>VÄSTRA GÖTALANDS LÄN</t>
        </is>
      </c>
      <c r="G288" t="inlineStr">
        <is>
          <t>HERRLJUNGA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46312</v>
      </c>
      <c r="F289" t="inlineStr">
        <is>
          <t>VÄSTRA GÖTALANDS LÄN</t>
        </is>
      </c>
      <c r="G289" t="inlineStr">
        <is>
          <t>HERRLJUNGA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46312</v>
      </c>
      <c r="F290" t="inlineStr">
        <is>
          <t>VÄSTRA GÖTALANDS LÄN</t>
        </is>
      </c>
      <c r="G290" t="inlineStr">
        <is>
          <t>HERRLJUNGA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54922-2023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45236</v>
      </c>
      <c r="E291" s="1" t="n">
        <v>46312</v>
      </c>
      <c r="F291" t="inlineStr">
        <is>
          <t>VÄSTRA GÖTALANDS LÄN</t>
        </is>
      </c>
      <c r="G291" t="inlineStr">
        <is>
          <t>HERRLJUNGA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44811</v>
      </c>
      <c r="E292" s="1" t="n">
        <v>46312</v>
      </c>
      <c r="F292" t="inlineStr">
        <is>
          <t>VÄSTRA GÖTALANDS LÄN</t>
        </is>
      </c>
      <c r="G292" t="inlineStr">
        <is>
          <t>HERRLJUNGA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4519-2024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45327</v>
      </c>
      <c r="E293" s="1" t="n">
        <v>46312</v>
      </c>
      <c r="F293" t="inlineStr">
        <is>
          <t>VÄSTRA GÖTALANDS LÄN</t>
        </is>
      </c>
      <c r="G293" t="inlineStr">
        <is>
          <t>HERRLJUNGA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73358-2021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44551</v>
      </c>
      <c r="E294" s="1" t="n">
        <v>46312</v>
      </c>
      <c r="F294" t="inlineStr">
        <is>
          <t>VÄSTRA GÖTALANDS LÄN</t>
        </is>
      </c>
      <c r="G294" t="inlineStr">
        <is>
          <t>HERRLJUNGA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46312</v>
      </c>
      <c r="F295" t="inlineStr">
        <is>
          <t>VÄSTRA GÖTALANDS LÄN</t>
        </is>
      </c>
      <c r="G295" t="inlineStr">
        <is>
          <t>HERRLJUNGA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12487-2022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44638</v>
      </c>
      <c r="E296" s="1" t="n">
        <v>46312</v>
      </c>
      <c r="F296" t="inlineStr">
        <is>
          <t>VÄSTRA GÖTALANDS LÄN</t>
        </is>
      </c>
      <c r="G296" t="inlineStr">
        <is>
          <t>HERRLJUNGA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36865-2026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46272</v>
      </c>
      <c r="E297" s="1" t="n">
        <v>46312</v>
      </c>
      <c r="F297" t="inlineStr">
        <is>
          <t>VÄSTRA GÖTALANDS LÄN</t>
        </is>
      </c>
      <c r="G297" t="inlineStr">
        <is>
          <t>HERRLJUNGA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46312</v>
      </c>
      <c r="F298" t="inlineStr">
        <is>
          <t>VÄSTRA GÖTALANDS LÄN</t>
        </is>
      </c>
      <c r="G298" t="inlineStr">
        <is>
          <t>HERRLJUNGA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45009</v>
      </c>
      <c r="E299" s="1" t="n">
        <v>46312</v>
      </c>
      <c r="F299" t="inlineStr">
        <is>
          <t>VÄSTRA GÖTALANDS LÄN</t>
        </is>
      </c>
      <c r="G299" t="inlineStr">
        <is>
          <t>HERRLJUNGA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38069-2023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45160</v>
      </c>
      <c r="E300" s="1" t="n">
        <v>46312</v>
      </c>
      <c r="F300" t="inlineStr">
        <is>
          <t>VÄSTRA GÖTALANDS LÄN</t>
        </is>
      </c>
      <c r="G300" t="inlineStr">
        <is>
          <t>HERRLJUNGA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45760</v>
      </c>
      <c r="E301" s="1" t="n">
        <v>46312</v>
      </c>
      <c r="F301" t="inlineStr">
        <is>
          <t>VÄSTRA GÖTALANDS LÄN</t>
        </is>
      </c>
      <c r="G301" t="inlineStr">
        <is>
          <t>HERRLJUNGA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46312</v>
      </c>
      <c r="F302" t="inlineStr">
        <is>
          <t>VÄSTRA GÖTALANDS LÄN</t>
        </is>
      </c>
      <c r="G302" t="inlineStr">
        <is>
          <t>HERRLJUNGA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45526</v>
      </c>
      <c r="E303" s="1" t="n">
        <v>46312</v>
      </c>
      <c r="F303" t="inlineStr">
        <is>
          <t>VÄSTRA GÖTALANDS LÄN</t>
        </is>
      </c>
      <c r="G303" t="inlineStr">
        <is>
          <t>HERRLJUNGA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46312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56355-2022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44890</v>
      </c>
      <c r="E305" s="1" t="n">
        <v>46312</v>
      </c>
      <c r="F305" t="inlineStr">
        <is>
          <t>VÄSTRA GÖTALANDS LÄN</t>
        </is>
      </c>
      <c r="G305" t="inlineStr">
        <is>
          <t>HERRLJUNGA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46312</v>
      </c>
      <c r="F306" t="inlineStr">
        <is>
          <t>VÄSTRA GÖTALANDS LÄN</t>
        </is>
      </c>
      <c r="G306" t="inlineStr">
        <is>
          <t>HERRLJUNGA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26224-2024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45468</v>
      </c>
      <c r="E307" s="1" t="n">
        <v>46312</v>
      </c>
      <c r="F307" t="inlineStr">
        <is>
          <t>VÄSTRA GÖTALANDS LÄN</t>
        </is>
      </c>
      <c r="G307" t="inlineStr">
        <is>
          <t>HERRLJUNGA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46312</v>
      </c>
      <c r="F308" t="inlineStr">
        <is>
          <t>VÄSTRA GÖTALANDS LÄN</t>
        </is>
      </c>
      <c r="G308" t="inlineStr">
        <is>
          <t>HERRLJUNGA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46312</v>
      </c>
      <c r="F309" t="inlineStr">
        <is>
          <t>VÄSTRA GÖTALANDS LÄN</t>
        </is>
      </c>
      <c r="G309" t="inlineStr">
        <is>
          <t>HERRLJUNGA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46312</v>
      </c>
      <c r="F310" t="inlineStr">
        <is>
          <t>VÄSTRA GÖTALANDS LÄN</t>
        </is>
      </c>
      <c r="G310" t="inlineStr">
        <is>
          <t>HERRLJUNGA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46312</v>
      </c>
      <c r="F311" t="inlineStr">
        <is>
          <t>VÄSTRA GÖTALANDS LÄN</t>
        </is>
      </c>
      <c r="G311" t="inlineStr">
        <is>
          <t>HERRLJUNGA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46312</v>
      </c>
      <c r="F312" t="inlineStr">
        <is>
          <t>VÄSTRA GÖTALANDS LÄN</t>
        </is>
      </c>
      <c r="G312" t="inlineStr">
        <is>
          <t>HERRLJUNGA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46312</v>
      </c>
      <c r="F313" t="inlineStr">
        <is>
          <t>VÄSTRA GÖTALANDS LÄN</t>
        </is>
      </c>
      <c r="G313" t="inlineStr">
        <is>
          <t>HERRLJUNGA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13200-2022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44644</v>
      </c>
      <c r="E314" s="1" t="n">
        <v>46312</v>
      </c>
      <c r="F314" t="inlineStr">
        <is>
          <t>VÄSTRA GÖTALANDS LÄN</t>
        </is>
      </c>
      <c r="G314" t="inlineStr">
        <is>
          <t>HERRLJUNGA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53950-2023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45231</v>
      </c>
      <c r="E315" s="1" t="n">
        <v>46312</v>
      </c>
      <c r="F315" t="inlineStr">
        <is>
          <t>VÄSTRA GÖTALANDS LÄN</t>
        </is>
      </c>
      <c r="G315" t="inlineStr">
        <is>
          <t>HERRLJUNGA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46312</v>
      </c>
      <c r="F316" t="inlineStr">
        <is>
          <t>VÄSTRA GÖTALANDS LÄN</t>
        </is>
      </c>
      <c r="G316" t="inlineStr">
        <is>
          <t>HERRLJUNGA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38816-2026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46286</v>
      </c>
      <c r="E317" s="1" t="n">
        <v>46312</v>
      </c>
      <c r="F317" t="inlineStr">
        <is>
          <t>VÄSTRA GÖTALANDS LÄN</t>
        </is>
      </c>
      <c r="G317" t="inlineStr">
        <is>
          <t>HERRLJUNGA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46312</v>
      </c>
      <c r="F318" t="inlineStr">
        <is>
          <t>VÄSTRA GÖTALANDS LÄN</t>
        </is>
      </c>
      <c r="G318" t="inlineStr">
        <is>
          <t>HERRLJUNGA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45016</v>
      </c>
      <c r="E319" s="1" t="n">
        <v>46312</v>
      </c>
      <c r="F319" t="inlineStr">
        <is>
          <t>VÄSTRA GÖTALANDS LÄN</t>
        </is>
      </c>
      <c r="G319" t="inlineStr">
        <is>
          <t>HERRLJUNGA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15645-2023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46312</v>
      </c>
      <c r="F320" t="inlineStr">
        <is>
          <t>VÄSTRA GÖTALANDS LÄN</t>
        </is>
      </c>
      <c r="G320" t="inlineStr">
        <is>
          <t>HERRLJUNGA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29159-2024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45482</v>
      </c>
      <c r="E321" s="1" t="n">
        <v>46312</v>
      </c>
      <c r="F321" t="inlineStr">
        <is>
          <t>VÄSTRA GÖTALANDS LÄN</t>
        </is>
      </c>
      <c r="G321" t="inlineStr">
        <is>
          <t>HERRLJUNGA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46312</v>
      </c>
      <c r="F322" t="inlineStr">
        <is>
          <t>VÄSTRA GÖTALANDS LÄN</t>
        </is>
      </c>
      <c r="G322" t="inlineStr">
        <is>
          <t>HERRLJUNGA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46246</v>
      </c>
      <c r="E323" s="1" t="n">
        <v>46312</v>
      </c>
      <c r="F323" t="inlineStr">
        <is>
          <t>VÄSTRA GÖTALANDS LÄN</t>
        </is>
      </c>
      <c r="G323" t="inlineStr">
        <is>
          <t>HERRLJUNGA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46312</v>
      </c>
      <c r="F324" t="inlineStr">
        <is>
          <t>VÄSTRA GÖTALANDS LÄN</t>
        </is>
      </c>
      <c r="G324" t="inlineStr">
        <is>
          <t>HERRLJUNGA</t>
        </is>
      </c>
      <c r="H324" t="inlineStr">
        <is>
          <t>Sveaskog</t>
        </is>
      </c>
      <c r="I324" t="n">
        <v>15.2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45298</v>
      </c>
      <c r="E325" s="1" t="n">
        <v>46312</v>
      </c>
      <c r="F325" t="inlineStr">
        <is>
          <t>VÄSTRA GÖTALANDS LÄN</t>
        </is>
      </c>
      <c r="G325" t="inlineStr">
        <is>
          <t>HERRLJUNGA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45708</v>
      </c>
      <c r="E326" s="1" t="n">
        <v>46312</v>
      </c>
      <c r="F326" t="inlineStr">
        <is>
          <t>VÄSTRA GÖTALANDS LÄN</t>
        </is>
      </c>
      <c r="G326" t="inlineStr">
        <is>
          <t>HERRLJUNGA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33653-2026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46312</v>
      </c>
      <c r="F327" t="inlineStr">
        <is>
          <t>VÄSTRA GÖTALANDS LÄN</t>
        </is>
      </c>
      <c r="G327" t="inlineStr">
        <is>
          <t>HERRLJUNGA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46312</v>
      </c>
      <c r="F328" t="inlineStr">
        <is>
          <t>VÄSTRA GÖTALANDS LÄN</t>
        </is>
      </c>
      <c r="G328" t="inlineStr">
        <is>
          <t>HERRLJUNGA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13298-2023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45005</v>
      </c>
      <c r="E329" s="1" t="n">
        <v>46312</v>
      </c>
      <c r="F329" t="inlineStr">
        <is>
          <t>VÄSTRA GÖTALANDS LÄN</t>
        </is>
      </c>
      <c r="G329" t="inlineStr">
        <is>
          <t>HERRLJUNGA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30159-2022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44757</v>
      </c>
      <c r="E330" s="1" t="n">
        <v>46312</v>
      </c>
      <c r="F330" t="inlineStr">
        <is>
          <t>VÄSTRA GÖTALANDS LÄN</t>
        </is>
      </c>
      <c r="G330" t="inlineStr">
        <is>
          <t>HERRLJUNGA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46312</v>
      </c>
      <c r="F331" t="inlineStr">
        <is>
          <t>VÄSTRA GÖTALANDS LÄN</t>
        </is>
      </c>
      <c r="G331" t="inlineStr">
        <is>
          <t>HERRLJUNGA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45747</v>
      </c>
      <c r="E332" s="1" t="n">
        <v>46312</v>
      </c>
      <c r="F332" t="inlineStr">
        <is>
          <t>VÄSTRA GÖTALANDS LÄN</t>
        </is>
      </c>
      <c r="G332" t="inlineStr">
        <is>
          <t>HERRLJUNGA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44605</v>
      </c>
      <c r="E333" s="1" t="n">
        <v>46312</v>
      </c>
      <c r="F333" t="inlineStr">
        <is>
          <t>VÄSTRA GÖTALANDS LÄN</t>
        </is>
      </c>
      <c r="G333" t="inlineStr">
        <is>
          <t>HERRLJUNGA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46295</v>
      </c>
      <c r="E334" s="1" t="n">
        <v>46312</v>
      </c>
      <c r="F334" t="inlineStr">
        <is>
          <t>VÄSTRA GÖTALANDS LÄN</t>
        </is>
      </c>
      <c r="G334" t="inlineStr">
        <is>
          <t>HERRLJUNGA</t>
        </is>
      </c>
      <c r="I334" t="n">
        <v>8.800000000000001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44908</v>
      </c>
      <c r="E335" s="1" t="n">
        <v>46312</v>
      </c>
      <c r="F335" t="inlineStr">
        <is>
          <t>VÄSTRA GÖTALANDS LÄN</t>
        </is>
      </c>
      <c r="G335" t="inlineStr">
        <is>
          <t>HERRLJUNGA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53773-2024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45615</v>
      </c>
      <c r="E336" s="1" t="n">
        <v>46312</v>
      </c>
      <c r="F336" t="inlineStr">
        <is>
          <t>VÄSTRA GÖTALANDS LÄN</t>
        </is>
      </c>
      <c r="G336" t="inlineStr">
        <is>
          <t>HERRLJUNGA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46252</v>
      </c>
      <c r="E337" s="1" t="n">
        <v>46312</v>
      </c>
      <c r="F337" t="inlineStr">
        <is>
          <t>VÄSTRA GÖTALANDS LÄN</t>
        </is>
      </c>
      <c r="G337" t="inlineStr">
        <is>
          <t>HERRLJUNGA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46251</v>
      </c>
      <c r="E338" s="1" t="n">
        <v>46312</v>
      </c>
      <c r="F338" t="inlineStr">
        <is>
          <t>VÄSTRA GÖTALANDS LÄN</t>
        </is>
      </c>
      <c r="G338" t="inlineStr">
        <is>
          <t>HERRLJUNGA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46294</v>
      </c>
      <c r="E339" s="1" t="n">
        <v>46312</v>
      </c>
      <c r="F339" t="inlineStr">
        <is>
          <t>VÄSTRA GÖTALANDS LÄN</t>
        </is>
      </c>
      <c r="G339" t="inlineStr">
        <is>
          <t>HERRLJUNGA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46294</v>
      </c>
      <c r="E340" s="1" t="n">
        <v>46312</v>
      </c>
      <c r="F340" t="inlineStr">
        <is>
          <t>VÄSTRA GÖTALANDS LÄN</t>
        </is>
      </c>
      <c r="G340" t="inlineStr">
        <is>
          <t>HERRLJUNGA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26816-2022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44740</v>
      </c>
      <c r="E341" s="1" t="n">
        <v>46312</v>
      </c>
      <c r="F341" t="inlineStr">
        <is>
          <t>VÄSTRA GÖTALANDS LÄN</t>
        </is>
      </c>
      <c r="G341" t="inlineStr">
        <is>
          <t>HERRLJUNGA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46312</v>
      </c>
      <c r="F342" t="inlineStr">
        <is>
          <t>VÄSTRA GÖTALANDS LÄN</t>
        </is>
      </c>
      <c r="G342" t="inlineStr">
        <is>
          <t>HERRLJUNGA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45702</v>
      </c>
      <c r="E343" s="1" t="n">
        <v>46312</v>
      </c>
      <c r="F343" t="inlineStr">
        <is>
          <t>VÄSTRA GÖTALANDS LÄN</t>
        </is>
      </c>
      <c r="G343" t="inlineStr">
        <is>
          <t>HERRLJUNGA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46296</v>
      </c>
      <c r="E344" s="1" t="n">
        <v>46312</v>
      </c>
      <c r="F344" t="inlineStr">
        <is>
          <t>VÄSTRA GÖTALANDS LÄN</t>
        </is>
      </c>
      <c r="G344" t="inlineStr">
        <is>
          <t>HERRLJUNGA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46295</v>
      </c>
      <c r="E345" s="1" t="n">
        <v>46312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45713</v>
      </c>
      <c r="E346" s="1" t="n">
        <v>46312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46253</v>
      </c>
      <c r="E347" s="1" t="n">
        <v>46312</v>
      </c>
      <c r="F347" t="inlineStr">
        <is>
          <t>VÄSTRA GÖTALANDS LÄN</t>
        </is>
      </c>
      <c r="G347" t="inlineStr">
        <is>
          <t>HERRLJUNGA</t>
        </is>
      </c>
      <c r="H347" t="inlineStr">
        <is>
          <t>Kyrkan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63734-2023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45277</v>
      </c>
      <c r="E348" s="1" t="n">
        <v>46312</v>
      </c>
      <c r="F348" t="inlineStr">
        <is>
          <t>VÄSTRA GÖTALANDS LÄN</t>
        </is>
      </c>
      <c r="G348" t="inlineStr">
        <is>
          <t>HERRLJUNGA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46301</v>
      </c>
      <c r="E349" s="1" t="n">
        <v>46312</v>
      </c>
      <c r="F349" t="inlineStr">
        <is>
          <t>VÄSTRA GÖTALANDS LÄN</t>
        </is>
      </c>
      <c r="G349" t="inlineStr">
        <is>
          <t>HERRLJUNGA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46312</v>
      </c>
      <c r="F350" t="inlineStr">
        <is>
          <t>VÄSTRA GÖTALANDS LÄN</t>
        </is>
      </c>
      <c r="G350" t="inlineStr">
        <is>
          <t>HERRLJUNGA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46312</v>
      </c>
      <c r="F351" t="inlineStr">
        <is>
          <t>VÄSTRA GÖTALANDS LÄN</t>
        </is>
      </c>
      <c r="G351" t="inlineStr">
        <is>
          <t>HERRLJUNGA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46303</v>
      </c>
      <c r="E352" s="1" t="n">
        <v>46312</v>
      </c>
      <c r="F352" t="inlineStr">
        <is>
          <t>VÄSTRA GÖTALANDS LÄN</t>
        </is>
      </c>
      <c r="G352" t="inlineStr">
        <is>
          <t>HERRLJUNGA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46304</v>
      </c>
      <c r="E353" s="1" t="n">
        <v>46312</v>
      </c>
      <c r="F353" t="inlineStr">
        <is>
          <t>VÄSTRA GÖTALANDS LÄN</t>
        </is>
      </c>
      <c r="G353" t="inlineStr">
        <is>
          <t>HERRLJUNGA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45803</v>
      </c>
      <c r="E354" s="1" t="n">
        <v>46312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25505-2025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45803</v>
      </c>
      <c r="E355" s="1" t="n">
        <v>46312</v>
      </c>
      <c r="F355" t="inlineStr">
        <is>
          <t>VÄSTRA GÖTALANDS LÄN</t>
        </is>
      </c>
      <c r="G355" t="inlineStr">
        <is>
          <t>HERRLJUNGA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45805</v>
      </c>
      <c r="E356" s="1" t="n">
        <v>46312</v>
      </c>
      <c r="F356" t="inlineStr">
        <is>
          <t>VÄSTRA GÖTALANDS LÄN</t>
        </is>
      </c>
      <c r="G356" t="inlineStr">
        <is>
          <t>HERRLJUNGA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36068-2026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46312</v>
      </c>
      <c r="F357" t="inlineStr">
        <is>
          <t>VÄSTRA GÖTALANDS LÄN</t>
        </is>
      </c>
      <c r="G357" t="inlineStr">
        <is>
          <t>HERRLJUNGA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45511</v>
      </c>
      <c r="E358" s="1" t="n">
        <v>46312</v>
      </c>
      <c r="F358" t="inlineStr">
        <is>
          <t>VÄSTRA GÖTALANDS LÄN</t>
        </is>
      </c>
      <c r="G358" t="inlineStr">
        <is>
          <t>HERRLJUNGA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26828-2025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46312</v>
      </c>
      <c r="F359" t="inlineStr">
        <is>
          <t>VÄSTRA GÖTALANDS LÄN</t>
        </is>
      </c>
      <c r="G359" t="inlineStr">
        <is>
          <t>HERRLJUNGA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38985-2024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46312</v>
      </c>
      <c r="F360" t="inlineStr">
        <is>
          <t>VÄSTRA GÖTALANDS LÄN</t>
        </is>
      </c>
      <c r="G360" t="inlineStr">
        <is>
          <t>HERRLJUNGA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26895-2025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45811</v>
      </c>
      <c r="E361" s="1" t="n">
        <v>46312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46312</v>
      </c>
      <c r="F362" t="inlineStr">
        <is>
          <t>VÄSTRA GÖTALANDS LÄN</t>
        </is>
      </c>
      <c r="G362" t="inlineStr">
        <is>
          <t>HERRLJUNGA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7332-2024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45345</v>
      </c>
      <c r="E363" s="1" t="n">
        <v>46312</v>
      </c>
      <c r="F363" t="inlineStr">
        <is>
          <t>VÄSTRA GÖTALANDS LÄN</t>
        </is>
      </c>
      <c r="G363" t="inlineStr">
        <is>
          <t>HERRLJUNGA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46312</v>
      </c>
      <c r="F364" t="inlineStr">
        <is>
          <t>VÄSTRA GÖTALANDS LÄN</t>
        </is>
      </c>
      <c r="G364" t="inlineStr">
        <is>
          <t>HERRLJUNGA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36064-2026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46267</v>
      </c>
      <c r="E365" s="1" t="n">
        <v>46312</v>
      </c>
      <c r="F365" t="inlineStr">
        <is>
          <t>VÄSTRA GÖTALANDS LÄN</t>
        </is>
      </c>
      <c r="G365" t="inlineStr">
        <is>
          <t>HERRLJUNGA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45337</v>
      </c>
      <c r="E366" s="1" t="n">
        <v>46312</v>
      </c>
      <c r="F366" t="inlineStr">
        <is>
          <t>VÄSTRA GÖTALANDS LÄN</t>
        </is>
      </c>
      <c r="G366" t="inlineStr">
        <is>
          <t>HERRLJUNGA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46310</v>
      </c>
      <c r="E367" s="1" t="n">
        <v>46312</v>
      </c>
      <c r="F367" t="inlineStr">
        <is>
          <t>VÄSTRA GÖTALANDS LÄN</t>
        </is>
      </c>
      <c r="G367" t="inlineStr">
        <is>
          <t>HERRLJUNGA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46312</v>
      </c>
      <c r="F368" t="inlineStr">
        <is>
          <t>VÄSTRA GÖTALANDS LÄN</t>
        </is>
      </c>
      <c r="G368" t="inlineStr">
        <is>
          <t>HERRLJUNGA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46312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46312</v>
      </c>
      <c r="F370" t="inlineStr">
        <is>
          <t>VÄSTRA GÖTALANDS LÄN</t>
        </is>
      </c>
      <c r="G370" t="inlineStr">
        <is>
          <t>HERRLJUNGA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46312</v>
      </c>
      <c r="F371" t="inlineStr">
        <is>
          <t>VÄSTRA GÖTALANDS LÄN</t>
        </is>
      </c>
      <c r="G371" t="inlineStr">
        <is>
          <t>HERRLJUNGA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46312</v>
      </c>
      <c r="F372" t="inlineStr">
        <is>
          <t>VÄSTRA GÖTALANDS LÄN</t>
        </is>
      </c>
      <c r="G372" t="inlineStr">
        <is>
          <t>HERRLJUNGA</t>
        </is>
      </c>
      <c r="H372" t="inlineStr">
        <is>
          <t>Sveaskog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45833</v>
      </c>
      <c r="E373" s="1" t="n">
        <v>46312</v>
      </c>
      <c r="F373" t="inlineStr">
        <is>
          <t>VÄSTRA GÖTALANDS LÄN</t>
        </is>
      </c>
      <c r="G373" t="inlineStr">
        <is>
          <t>HERRLJUNGA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45833</v>
      </c>
      <c r="E374" s="1" t="n">
        <v>46312</v>
      </c>
      <c r="F374" t="inlineStr">
        <is>
          <t>VÄSTRA GÖTALANDS LÄN</t>
        </is>
      </c>
      <c r="G374" t="inlineStr">
        <is>
          <t>HERRLJUNGA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46312</v>
      </c>
      <c r="F375" t="inlineStr">
        <is>
          <t>VÄSTRA GÖTALANDS LÄN</t>
        </is>
      </c>
      <c r="G375" t="inlineStr">
        <is>
          <t>HERRLJUNGA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46312</v>
      </c>
      <c r="F376" t="inlineStr">
        <is>
          <t>VÄSTRA GÖTALANDS LÄN</t>
        </is>
      </c>
      <c r="G376" t="inlineStr">
        <is>
          <t>HERRLJUNGA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46312</v>
      </c>
      <c r="F377" t="inlineStr">
        <is>
          <t>VÄSTRA GÖTALANDS LÄN</t>
        </is>
      </c>
      <c r="G377" t="inlineStr">
        <is>
          <t>HERRLJUNGA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46312</v>
      </c>
      <c r="F378" t="inlineStr">
        <is>
          <t>VÄSTRA GÖTALANDS LÄN</t>
        </is>
      </c>
      <c r="G378" t="inlineStr">
        <is>
          <t>HERRLJUNGA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32772-2025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45839</v>
      </c>
      <c r="E379" s="1" t="n">
        <v>46312</v>
      </c>
      <c r="F379" t="inlineStr">
        <is>
          <t>VÄSTRA GÖTALANDS LÄN</t>
        </is>
      </c>
      <c r="G379" t="inlineStr">
        <is>
          <t>HERRLJUNGA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46312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46312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46312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46312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46312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46312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46312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46312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46312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46312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46312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46312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46312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46312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46312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2026-10-17T02:05:58Z</dcterms:created>
  <dcterms:modified xmlns:dcterms="http://purl.org/dc/terms/" xmlns:xsi="http://www.w3.org/2001/XMLSchema-instance" xsi:type="dcterms:W3CDTF">2026-10-17T02:05:58Z</dcterms:modified>
</cp:coreProperties>
</file>